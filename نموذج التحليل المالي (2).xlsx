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268\Downloads\"/>
    </mc:Choice>
  </mc:AlternateContent>
  <xr:revisionPtr revIDLastSave="0" documentId="13_ncr:1_{85B0911D-BD3E-4B3B-B5E6-52D3CB8C48D1}" xr6:coauthVersionLast="47" xr6:coauthVersionMax="47" xr10:uidLastSave="{00000000-0000-0000-0000-000000000000}"/>
  <bookViews>
    <workbookView xWindow="-110" yWindow="-110" windowWidth="19420" windowHeight="11500" firstSheet="3" activeTab="5" xr2:uid="{4B4610A7-5CDB-4F59-BF18-774BD00BD628}"/>
  </bookViews>
  <sheets>
    <sheet name="إدخال بيانات قائمة الدخل" sheetId="1" r:id="rId1"/>
    <sheet name="إدخال بيانات المركز المالي" sheetId="2" r:id="rId2"/>
    <sheet name="الهيكل النسبي لقائمة الدخل" sheetId="4" r:id="rId3"/>
    <sheet name="التغير النسبي لقائمة الدخل" sheetId="6" r:id="rId4"/>
    <sheet name="الهيكل النسبي للمركز المالي" sheetId="7" r:id="rId5"/>
    <sheet name="التغير النسبي للمركز المالي" sheetId="8" r:id="rId6"/>
    <sheet name="النسب المالية" sheetId="9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9" l="1"/>
  <c r="D23" i="9"/>
  <c r="E23" i="9"/>
  <c r="B23" i="9"/>
  <c r="C22" i="9"/>
  <c r="D22" i="9"/>
  <c r="E22" i="9"/>
  <c r="B22" i="9"/>
  <c r="C21" i="9"/>
  <c r="D21" i="9"/>
  <c r="E21" i="9"/>
  <c r="B21" i="9"/>
  <c r="D19" i="9"/>
  <c r="E19" i="9"/>
  <c r="C19" i="9"/>
  <c r="D18" i="9"/>
  <c r="E18" i="9"/>
  <c r="C18" i="9"/>
  <c r="D17" i="9"/>
  <c r="E17" i="9"/>
  <c r="C17" i="9"/>
  <c r="D16" i="9"/>
  <c r="E16" i="9"/>
  <c r="C16" i="9"/>
  <c r="D15" i="9"/>
  <c r="E15" i="9"/>
  <c r="C15" i="9"/>
  <c r="D14" i="9"/>
  <c r="E14" i="9"/>
  <c r="C14" i="9"/>
  <c r="C12" i="9"/>
  <c r="D12" i="9"/>
  <c r="E12" i="9"/>
  <c r="B12" i="9"/>
  <c r="C11" i="9"/>
  <c r="D11" i="9"/>
  <c r="E11" i="9"/>
  <c r="B11" i="9"/>
  <c r="C10" i="9"/>
  <c r="D10" i="9"/>
  <c r="E10" i="9"/>
  <c r="B10" i="9"/>
  <c r="C8" i="9"/>
  <c r="D8" i="9"/>
  <c r="E8" i="9"/>
  <c r="B8" i="9"/>
  <c r="C7" i="9"/>
  <c r="D7" i="9"/>
  <c r="E7" i="9"/>
  <c r="B7" i="9"/>
  <c r="C6" i="9"/>
  <c r="D6" i="9"/>
  <c r="E6" i="9"/>
  <c r="B6" i="9"/>
  <c r="C5" i="9"/>
  <c r="D5" i="9"/>
  <c r="E5" i="9"/>
  <c r="B5" i="9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3" i="8"/>
  <c r="D23" i="8"/>
  <c r="E23" i="8"/>
  <c r="C24" i="8"/>
  <c r="D24" i="8"/>
  <c r="E24" i="8"/>
  <c r="C25" i="8"/>
  <c r="D25" i="8"/>
  <c r="E25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B31" i="8"/>
  <c r="B30" i="8"/>
  <c r="B29" i="8"/>
  <c r="B28" i="8"/>
  <c r="B27" i="8"/>
  <c r="B25" i="8"/>
  <c r="B24" i="8"/>
  <c r="B23" i="8"/>
  <c r="B21" i="8"/>
  <c r="B20" i="8"/>
  <c r="B19" i="8"/>
  <c r="B18" i="8"/>
  <c r="B17" i="8"/>
  <c r="B15" i="8"/>
  <c r="B14" i="8"/>
  <c r="B13" i="8"/>
  <c r="B12" i="8"/>
  <c r="B11" i="8"/>
  <c r="B10" i="8"/>
  <c r="B9" i="8"/>
  <c r="B8" i="8"/>
  <c r="B7" i="8"/>
  <c r="B6" i="8"/>
  <c r="B5" i="8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E17" i="7"/>
  <c r="D17" i="7"/>
  <c r="C17" i="7"/>
  <c r="B17" i="7"/>
  <c r="E6" i="7"/>
  <c r="E7" i="7"/>
  <c r="E8" i="7"/>
  <c r="E9" i="7"/>
  <c r="E10" i="7"/>
  <c r="E11" i="7"/>
  <c r="E12" i="7"/>
  <c r="E13" i="7"/>
  <c r="E14" i="7"/>
  <c r="E15" i="7"/>
  <c r="D6" i="7"/>
  <c r="D7" i="7"/>
  <c r="D8" i="7"/>
  <c r="D9" i="7"/>
  <c r="D10" i="7"/>
  <c r="D11" i="7"/>
  <c r="D12" i="7"/>
  <c r="D13" i="7"/>
  <c r="D14" i="7"/>
  <c r="D15" i="7"/>
  <c r="C6" i="7"/>
  <c r="C7" i="7"/>
  <c r="C8" i="7"/>
  <c r="C9" i="7"/>
  <c r="C10" i="7"/>
  <c r="C11" i="7"/>
  <c r="C12" i="7"/>
  <c r="C13" i="7"/>
  <c r="C14" i="7"/>
  <c r="C15" i="7"/>
  <c r="B6" i="7"/>
  <c r="B7" i="7"/>
  <c r="B8" i="7"/>
  <c r="B9" i="7"/>
  <c r="B10" i="7"/>
  <c r="B11" i="7"/>
  <c r="B12" i="7"/>
  <c r="B13" i="7"/>
  <c r="B14" i="7"/>
  <c r="B15" i="7"/>
  <c r="E5" i="7"/>
  <c r="D5" i="7"/>
  <c r="C5" i="7"/>
  <c r="B5" i="7"/>
  <c r="C4" i="6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E4" i="4"/>
  <c r="D4" i="4"/>
  <c r="C4" i="4"/>
  <c r="B4" i="4"/>
  <c r="B3" i="6"/>
  <c r="C3" i="6"/>
  <c r="D3" i="6"/>
  <c r="E3" i="6"/>
  <c r="B3" i="4"/>
  <c r="C3" i="4"/>
  <c r="D3" i="4"/>
  <c r="E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3" i="4"/>
  <c r="C31" i="2"/>
  <c r="D31" i="2"/>
  <c r="E31" i="2"/>
  <c r="B31" i="2"/>
  <c r="C30" i="2"/>
  <c r="D30" i="2"/>
  <c r="E30" i="2"/>
  <c r="B30" i="2"/>
  <c r="C25" i="2"/>
  <c r="D25" i="2"/>
  <c r="E25" i="2"/>
  <c r="B25" i="2"/>
  <c r="C24" i="2"/>
  <c r="D24" i="2"/>
  <c r="E24" i="2"/>
  <c r="B24" i="2"/>
  <c r="C21" i="2"/>
  <c r="D21" i="2"/>
  <c r="E21" i="2"/>
  <c r="B21" i="2"/>
  <c r="C15" i="2"/>
  <c r="D15" i="2"/>
  <c r="E15" i="2"/>
  <c r="B15" i="2"/>
  <c r="C14" i="2"/>
  <c r="D14" i="2"/>
  <c r="E14" i="2"/>
  <c r="B14" i="2"/>
  <c r="C11" i="2"/>
  <c r="D11" i="2"/>
  <c r="E11" i="2"/>
  <c r="B11" i="2"/>
  <c r="C17" i="1"/>
  <c r="D17" i="1"/>
  <c r="E17" i="1"/>
  <c r="B17" i="1"/>
  <c r="C16" i="1"/>
  <c r="D16" i="1"/>
  <c r="E16" i="1"/>
  <c r="B16" i="1"/>
  <c r="C15" i="1"/>
  <c r="D15" i="1"/>
  <c r="E15" i="1"/>
  <c r="B15" i="1"/>
  <c r="C12" i="1"/>
  <c r="D12" i="1"/>
  <c r="E12" i="1"/>
  <c r="B12" i="1"/>
  <c r="C11" i="1"/>
  <c r="D11" i="1"/>
  <c r="E11" i="1"/>
  <c r="B11" i="1"/>
  <c r="C8" i="1"/>
  <c r="D8" i="1"/>
  <c r="E8" i="1"/>
  <c r="B8" i="1"/>
  <c r="C6" i="1"/>
  <c r="D6" i="1"/>
  <c r="E6" i="1"/>
  <c r="B6" i="1"/>
  <c r="B3" i="9"/>
  <c r="C3" i="9"/>
  <c r="D3" i="9"/>
  <c r="E3" i="9"/>
  <c r="A3" i="9"/>
  <c r="B3" i="8"/>
  <c r="C3" i="8"/>
  <c r="D3" i="8"/>
  <c r="E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" i="8"/>
  <c r="B3" i="7"/>
  <c r="C3" i="7"/>
  <c r="D3" i="7"/>
  <c r="E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3" i="6"/>
</calcChain>
</file>

<file path=xl/sharedStrings.xml><?xml version="1.0" encoding="utf-8"?>
<sst xmlns="http://schemas.openxmlformats.org/spreadsheetml/2006/main" count="76" uniqueCount="75">
  <si>
    <t>قائمة الدخل المقارنة لشركة الحياة</t>
  </si>
  <si>
    <t>السنوات</t>
  </si>
  <si>
    <t>المبيعات النقدية</t>
  </si>
  <si>
    <t>المبيعات الآجلة</t>
  </si>
  <si>
    <t>صافي المبيعات</t>
  </si>
  <si>
    <t>تكلفة المبيعات</t>
  </si>
  <si>
    <t>مجمل الربح</t>
  </si>
  <si>
    <t>المصاريف التسويقية</t>
  </si>
  <si>
    <t>المصاريف الإدارية</t>
  </si>
  <si>
    <t>إجمالي المصاريف التشغيلية</t>
  </si>
  <si>
    <t>صافي ربح العمليات الرئيسية</t>
  </si>
  <si>
    <t>الإيرادات غير التشغيلية</t>
  </si>
  <si>
    <t>المصروفات غير التشغيلية</t>
  </si>
  <si>
    <t>صافي الربح قبل الزكاة والضريبة</t>
  </si>
  <si>
    <t>الزكاة والضريبة 5%</t>
  </si>
  <si>
    <t>صافي الربح بعد الزكاة والضريبة</t>
  </si>
  <si>
    <t>قائمة المركز المالي المقارنة لشركة الحياة</t>
  </si>
  <si>
    <t>الأصول المتداولة</t>
  </si>
  <si>
    <t>نقدية</t>
  </si>
  <si>
    <t>استثمارات قصيرة الاجل</t>
  </si>
  <si>
    <t>مدينون</t>
  </si>
  <si>
    <t>أوراق القبض</t>
  </si>
  <si>
    <t>مخزون سلعي</t>
  </si>
  <si>
    <t>مصروفات مقدمة</t>
  </si>
  <si>
    <t>مجموع الأصول المتداولة</t>
  </si>
  <si>
    <t>الأصول الثابتة</t>
  </si>
  <si>
    <t>مجمع الاستهلاك</t>
  </si>
  <si>
    <t>صافي الأصول الثابتة</t>
  </si>
  <si>
    <t>إجمالي الأصول</t>
  </si>
  <si>
    <t>الخصوم المتداولة</t>
  </si>
  <si>
    <t>دائنون</t>
  </si>
  <si>
    <t>أوراق دفع</t>
  </si>
  <si>
    <t>قرض قصير الأجل</t>
  </si>
  <si>
    <t>مصروفات مستحقة</t>
  </si>
  <si>
    <t>مجموع الخصوم المتداولة</t>
  </si>
  <si>
    <t>خصوم غير متداولة</t>
  </si>
  <si>
    <t>قروض طويلة الأجل</t>
  </si>
  <si>
    <t>مجموع الخصوم الغير متداولة</t>
  </si>
  <si>
    <t>إجمالي الخصوم</t>
  </si>
  <si>
    <t>حقوق المساهمين</t>
  </si>
  <si>
    <t>رأس مال الأسهم</t>
  </si>
  <si>
    <t>احتياطيات</t>
  </si>
  <si>
    <t>أرباح محتجزة</t>
  </si>
  <si>
    <t>مجموع حقوق المساهمين</t>
  </si>
  <si>
    <t>إجمالي الخصوم وحقوق المساهمين</t>
  </si>
  <si>
    <t>الهيكل النسبي لقائمة الدخل لشركة الحياة</t>
  </si>
  <si>
    <t>التغير النسبي لقائمة الدخل لشركة الحياة</t>
  </si>
  <si>
    <t>الهيكل النسبي لقائمة المركز المالي لشركة الحياة</t>
  </si>
  <si>
    <t>التغير النسبي لقائمة المركز المالي لشركة الحياة</t>
  </si>
  <si>
    <t>النسب المالية لشركة الحياة</t>
  </si>
  <si>
    <t>النسب المقدرة على تحقيق الأرباح</t>
  </si>
  <si>
    <t>نسبة صافي الربح إلى حقوق المساهمين</t>
  </si>
  <si>
    <t>نسبة صافي الربح إلى إجمالي الأصول</t>
  </si>
  <si>
    <t>نسبة صافي الربح إلى صافي المبيعات</t>
  </si>
  <si>
    <t>نسبة الدخل الرئيسي إلى صافي المبيعات</t>
  </si>
  <si>
    <t>نسب المقدرة على الدفع في الأجل القصير (السيولة)</t>
  </si>
  <si>
    <t>نسبة الأصول المتداولة إلى الخصوم المتداولة (التداول)</t>
  </si>
  <si>
    <t>نسبة السيولة السريعه</t>
  </si>
  <si>
    <t>نسبة السيولة النقدية</t>
  </si>
  <si>
    <t>نسب كفاءة إدارة المشروع (معدل الدوران)</t>
  </si>
  <si>
    <t>معدل دوران المخزون</t>
  </si>
  <si>
    <t>متوسط فترة التخزين</t>
  </si>
  <si>
    <t>معدل دوران المدينون</t>
  </si>
  <si>
    <t>متوسط فترة التحصيل</t>
  </si>
  <si>
    <t>معدل دوران الأصول المتداولة</t>
  </si>
  <si>
    <t>معدل دوران راس المال العامل</t>
  </si>
  <si>
    <t>نسب المقدرة على سداد الديون طويلة الأجل</t>
  </si>
  <si>
    <t>نسبة مجموع الخصوم إلى مجموع الأصول</t>
  </si>
  <si>
    <t>نسبة مجموع الخصوم إلى حقوق المساهمين</t>
  </si>
  <si>
    <t>نسبة الخصوم طويلة الأجل إلى حقوق المساهمين</t>
  </si>
  <si>
    <t xml:space="preserve">رأسي </t>
  </si>
  <si>
    <t>البند/صافي المبيعات</t>
  </si>
  <si>
    <t xml:space="preserve">الافقي = بيانات كل عنصر/قيمه العنصر في الأساس </t>
  </si>
  <si>
    <t xml:space="preserve">رأسي = نسبه كل اصل الى اجمالي الأصول ونسبة كل التزامات وحقوق الى اجمالي التزامات وحقوق </t>
  </si>
  <si>
    <t xml:space="preserve">افقي = بيانات كل عنصر / سنه الأساس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</si>
</sst>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50E1-6164-47E9-9931-E56AB62AB578}">
  <dimension ref="A1:N17"/>
  <sheetViews>
    <sheetView workbookViewId="0">
      <selection activeCell="B4" sqref="B4"/>
    </sheetView>
  </sheetViews>
  <sheetFormatPr defaultRowHeight="14" x14ac:dyDescent="0.3"/>
  <cols>
    <col min="1" max="1" width="23.75" customWidth="1"/>
  </cols>
  <sheetData>
    <row r="1" spans="1:14" x14ac:dyDescent="0.3">
      <c r="A1" s="5" t="s">
        <v>0</v>
      </c>
      <c r="B1" s="5"/>
      <c r="C1" s="5"/>
      <c r="D1" s="5"/>
      <c r="E1" s="5"/>
    </row>
    <row r="2" spans="1:14" x14ac:dyDescent="0.3">
      <c r="A2" s="5"/>
      <c r="B2" s="5"/>
      <c r="C2" s="5"/>
      <c r="D2" s="5"/>
      <c r="E2" s="5"/>
    </row>
    <row r="3" spans="1:14" x14ac:dyDescent="0.3">
      <c r="A3" t="s">
        <v>1</v>
      </c>
      <c r="B3">
        <v>1421</v>
      </c>
      <c r="C3">
        <v>1422</v>
      </c>
      <c r="D3">
        <v>1423</v>
      </c>
      <c r="E3">
        <v>1424</v>
      </c>
      <c r="J3" s="5"/>
      <c r="K3" s="5"/>
      <c r="L3" s="5"/>
      <c r="M3" s="5"/>
      <c r="N3" s="5"/>
    </row>
    <row r="4" spans="1:14" x14ac:dyDescent="0.3">
      <c r="A4" t="s">
        <v>2</v>
      </c>
      <c r="B4">
        <v>4000000</v>
      </c>
      <c r="C4">
        <v>5000000</v>
      </c>
      <c r="D4">
        <v>5800000</v>
      </c>
      <c r="E4">
        <v>6200000</v>
      </c>
      <c r="J4" s="5"/>
      <c r="K4" s="5"/>
      <c r="L4" s="5"/>
      <c r="M4" s="5"/>
      <c r="N4" s="5"/>
    </row>
    <row r="5" spans="1:14" x14ac:dyDescent="0.3">
      <c r="A5" t="s">
        <v>3</v>
      </c>
      <c r="B5">
        <v>9000000</v>
      </c>
      <c r="C5">
        <v>12000000</v>
      </c>
      <c r="D5">
        <v>15000000</v>
      </c>
      <c r="E5">
        <v>17000000</v>
      </c>
    </row>
    <row r="6" spans="1:14" x14ac:dyDescent="0.3">
      <c r="A6" s="1" t="s">
        <v>4</v>
      </c>
      <c r="B6">
        <f>B4+B5</f>
        <v>13000000</v>
      </c>
      <c r="C6">
        <f t="shared" ref="C6:E6" si="0">C4+C5</f>
        <v>17000000</v>
      </c>
      <c r="D6">
        <f t="shared" si="0"/>
        <v>20800000</v>
      </c>
      <c r="E6">
        <f t="shared" si="0"/>
        <v>23200000</v>
      </c>
    </row>
    <row r="7" spans="1:14" x14ac:dyDescent="0.3">
      <c r="A7" t="s">
        <v>5</v>
      </c>
      <c r="B7">
        <v>6500000</v>
      </c>
      <c r="C7">
        <v>8500000</v>
      </c>
      <c r="D7">
        <v>10400000</v>
      </c>
      <c r="E7">
        <v>11600000</v>
      </c>
    </row>
    <row r="8" spans="1:14" x14ac:dyDescent="0.3">
      <c r="A8" s="1" t="s">
        <v>6</v>
      </c>
      <c r="B8">
        <f>B6-B7</f>
        <v>6500000</v>
      </c>
      <c r="C8">
        <f t="shared" ref="C8:E8" si="1">C6-C7</f>
        <v>8500000</v>
      </c>
      <c r="D8">
        <f t="shared" si="1"/>
        <v>10400000</v>
      </c>
      <c r="E8">
        <f t="shared" si="1"/>
        <v>11600000</v>
      </c>
    </row>
    <row r="9" spans="1:14" x14ac:dyDescent="0.3">
      <c r="A9" t="s">
        <v>7</v>
      </c>
      <c r="B9">
        <v>800000</v>
      </c>
      <c r="C9">
        <v>900500</v>
      </c>
      <c r="D9">
        <v>1000000</v>
      </c>
      <c r="E9">
        <v>1300000</v>
      </c>
    </row>
    <row r="10" spans="1:14" x14ac:dyDescent="0.3">
      <c r="A10" t="s">
        <v>8</v>
      </c>
      <c r="B10">
        <v>1400000</v>
      </c>
      <c r="C10">
        <v>1600000</v>
      </c>
      <c r="D10">
        <v>1900000</v>
      </c>
      <c r="E10">
        <v>2000800</v>
      </c>
    </row>
    <row r="11" spans="1:14" x14ac:dyDescent="0.3">
      <c r="A11" s="1" t="s">
        <v>9</v>
      </c>
      <c r="B11">
        <f>B9+B10</f>
        <v>2200000</v>
      </c>
      <c r="C11">
        <f t="shared" ref="C11:E11" si="2">C9+C10</f>
        <v>2500500</v>
      </c>
      <c r="D11">
        <f t="shared" si="2"/>
        <v>2900000</v>
      </c>
      <c r="E11">
        <f t="shared" si="2"/>
        <v>3300800</v>
      </c>
    </row>
    <row r="12" spans="1:14" x14ac:dyDescent="0.3">
      <c r="A12" s="1" t="s">
        <v>10</v>
      </c>
      <c r="B12">
        <f>B8-B11</f>
        <v>4300000</v>
      </c>
      <c r="C12">
        <f t="shared" ref="C12:E12" si="3">C8-C11</f>
        <v>5999500</v>
      </c>
      <c r="D12">
        <f t="shared" si="3"/>
        <v>7500000</v>
      </c>
      <c r="E12">
        <f t="shared" si="3"/>
        <v>8299200</v>
      </c>
    </row>
    <row r="13" spans="1:14" x14ac:dyDescent="0.3">
      <c r="A13" t="s">
        <v>11</v>
      </c>
      <c r="B13">
        <v>300000</v>
      </c>
      <c r="C13">
        <v>360000</v>
      </c>
      <c r="D13">
        <v>470000</v>
      </c>
      <c r="E13">
        <v>470000</v>
      </c>
    </row>
    <row r="14" spans="1:14" x14ac:dyDescent="0.3">
      <c r="A14" t="s">
        <v>12</v>
      </c>
      <c r="B14">
        <v>250000</v>
      </c>
      <c r="C14">
        <v>300000</v>
      </c>
      <c r="D14">
        <v>290000</v>
      </c>
      <c r="E14">
        <v>120000</v>
      </c>
    </row>
    <row r="15" spans="1:14" x14ac:dyDescent="0.3">
      <c r="A15" s="1" t="s">
        <v>13</v>
      </c>
      <c r="B15">
        <f>B12+B13-B14</f>
        <v>4350000</v>
      </c>
      <c r="C15">
        <f t="shared" ref="C15:E15" si="4">C12+C13-C14</f>
        <v>6059500</v>
      </c>
      <c r="D15">
        <f t="shared" si="4"/>
        <v>7680000</v>
      </c>
      <c r="E15">
        <f t="shared" si="4"/>
        <v>8649200</v>
      </c>
    </row>
    <row r="16" spans="1:14" x14ac:dyDescent="0.3">
      <c r="A16" s="1" t="s">
        <v>14</v>
      </c>
      <c r="B16">
        <f>B15*5%</f>
        <v>217500</v>
      </c>
      <c r="C16">
        <f t="shared" ref="C16:E16" si="5">C15*5%</f>
        <v>302975</v>
      </c>
      <c r="D16">
        <f t="shared" si="5"/>
        <v>384000</v>
      </c>
      <c r="E16">
        <f t="shared" si="5"/>
        <v>432460</v>
      </c>
    </row>
    <row r="17" spans="1:5" x14ac:dyDescent="0.3">
      <c r="A17" s="1" t="s">
        <v>15</v>
      </c>
      <c r="B17">
        <f>B15-B16</f>
        <v>4132500</v>
      </c>
      <c r="C17">
        <f t="shared" ref="C17:E17" si="6">C15-C16</f>
        <v>5756525</v>
      </c>
      <c r="D17">
        <f t="shared" si="6"/>
        <v>7296000</v>
      </c>
      <c r="E17">
        <f t="shared" si="6"/>
        <v>8216740</v>
      </c>
    </row>
  </sheetData>
  <mergeCells count="2">
    <mergeCell ref="A1:E2"/>
    <mergeCell ref="J3: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B0B5-6964-4335-A56B-D765CAA38FB4}">
  <dimension ref="A1:F31"/>
  <sheetViews>
    <sheetView topLeftCell="A10" workbookViewId="0">
      <selection activeCell="I17" sqref="I17"/>
    </sheetView>
  </sheetViews>
  <sheetFormatPr defaultRowHeight="14" x14ac:dyDescent="0.3"/>
  <cols>
    <col min="1" max="1" width="20.9140625" customWidth="1"/>
    <col min="2" max="5" width="9.83203125" bestFit="1" customWidth="1"/>
  </cols>
  <sheetData>
    <row r="1" spans="1:6" x14ac:dyDescent="0.3">
      <c r="A1" s="5" t="s">
        <v>16</v>
      </c>
      <c r="B1" s="5"/>
      <c r="C1" s="5"/>
      <c r="D1" s="5"/>
      <c r="E1" s="5"/>
      <c r="F1" s="5"/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t="s">
        <v>1</v>
      </c>
      <c r="B3">
        <v>1421</v>
      </c>
      <c r="C3">
        <v>1422</v>
      </c>
      <c r="D3">
        <v>1423</v>
      </c>
      <c r="E3">
        <v>1424</v>
      </c>
    </row>
    <row r="4" spans="1:6" x14ac:dyDescent="0.3">
      <c r="A4" t="s">
        <v>17</v>
      </c>
    </row>
    <row r="5" spans="1:6" x14ac:dyDescent="0.3">
      <c r="A5" t="s">
        <v>18</v>
      </c>
      <c r="B5">
        <v>3000000</v>
      </c>
      <c r="C5">
        <v>4000000</v>
      </c>
      <c r="D5">
        <v>5000000</v>
      </c>
      <c r="E5">
        <v>7000000</v>
      </c>
    </row>
    <row r="6" spans="1:6" x14ac:dyDescent="0.3">
      <c r="A6" t="s">
        <v>19</v>
      </c>
      <c r="B6">
        <v>12000000</v>
      </c>
      <c r="C6">
        <v>14000000</v>
      </c>
      <c r="D6">
        <v>19000000</v>
      </c>
      <c r="E6">
        <v>24000000</v>
      </c>
    </row>
    <row r="7" spans="1:6" x14ac:dyDescent="0.3">
      <c r="A7" t="s">
        <v>20</v>
      </c>
      <c r="B7">
        <v>4900000</v>
      </c>
      <c r="C7">
        <v>4500000</v>
      </c>
      <c r="D7">
        <v>5200000</v>
      </c>
      <c r="E7">
        <v>6800000</v>
      </c>
    </row>
    <row r="8" spans="1:6" x14ac:dyDescent="0.3">
      <c r="A8" t="s">
        <v>21</v>
      </c>
      <c r="B8">
        <v>3500000</v>
      </c>
      <c r="C8">
        <v>3900000</v>
      </c>
      <c r="D8">
        <v>4150000</v>
      </c>
      <c r="E8">
        <v>5000000</v>
      </c>
    </row>
    <row r="9" spans="1:6" x14ac:dyDescent="0.3">
      <c r="A9" t="s">
        <v>22</v>
      </c>
      <c r="B9">
        <v>8200000</v>
      </c>
      <c r="C9">
        <v>9100000</v>
      </c>
      <c r="D9">
        <v>10000000</v>
      </c>
      <c r="E9">
        <v>11300000</v>
      </c>
    </row>
    <row r="10" spans="1:6" x14ac:dyDescent="0.3">
      <c r="A10" t="s">
        <v>23</v>
      </c>
      <c r="B10">
        <v>112000</v>
      </c>
      <c r="C10">
        <v>127000</v>
      </c>
      <c r="D10">
        <v>100000</v>
      </c>
      <c r="E10">
        <v>150000</v>
      </c>
    </row>
    <row r="11" spans="1:6" x14ac:dyDescent="0.3">
      <c r="A11" s="1" t="s">
        <v>24</v>
      </c>
      <c r="B11">
        <f>SUM(B5:B10)</f>
        <v>31712000</v>
      </c>
      <c r="C11">
        <f t="shared" ref="C11:E11" si="0">SUM(C5:C10)</f>
        <v>35627000</v>
      </c>
      <c r="D11">
        <f t="shared" si="0"/>
        <v>43450000</v>
      </c>
      <c r="E11">
        <f t="shared" si="0"/>
        <v>54250000</v>
      </c>
    </row>
    <row r="12" spans="1:6" x14ac:dyDescent="0.3">
      <c r="A12" t="s">
        <v>25</v>
      </c>
      <c r="B12">
        <v>207600000</v>
      </c>
      <c r="C12">
        <v>215848000</v>
      </c>
      <c r="D12">
        <v>222350000</v>
      </c>
      <c r="E12">
        <v>223900000</v>
      </c>
    </row>
    <row r="13" spans="1:6" x14ac:dyDescent="0.3">
      <c r="A13" t="s">
        <v>26</v>
      </c>
      <c r="B13">
        <v>8444000</v>
      </c>
      <c r="C13">
        <v>9274500</v>
      </c>
      <c r="D13">
        <v>13000000</v>
      </c>
      <c r="E13">
        <v>16200000</v>
      </c>
    </row>
    <row r="14" spans="1:6" x14ac:dyDescent="0.3">
      <c r="A14" s="1" t="s">
        <v>27</v>
      </c>
      <c r="B14">
        <f>B12-B13</f>
        <v>199156000</v>
      </c>
      <c r="C14">
        <f t="shared" ref="C14:E14" si="1">C12-C13</f>
        <v>206573500</v>
      </c>
      <c r="D14">
        <f t="shared" si="1"/>
        <v>209350000</v>
      </c>
      <c r="E14">
        <f t="shared" si="1"/>
        <v>207700000</v>
      </c>
    </row>
    <row r="15" spans="1:6" x14ac:dyDescent="0.3">
      <c r="A15" s="3" t="s">
        <v>28</v>
      </c>
      <c r="B15">
        <f>B11+B14</f>
        <v>230868000</v>
      </c>
      <c r="C15">
        <f t="shared" ref="C15:E15" si="2">C11+C14</f>
        <v>242200500</v>
      </c>
      <c r="D15">
        <f t="shared" si="2"/>
        <v>252800000</v>
      </c>
      <c r="E15">
        <f t="shared" si="2"/>
        <v>261950000</v>
      </c>
    </row>
    <row r="16" spans="1:6" x14ac:dyDescent="0.3">
      <c r="A16" t="s">
        <v>29</v>
      </c>
    </row>
    <row r="17" spans="1:5" x14ac:dyDescent="0.3">
      <c r="A17" t="s">
        <v>30</v>
      </c>
      <c r="B17">
        <v>6700000</v>
      </c>
      <c r="C17">
        <v>9200000</v>
      </c>
      <c r="D17">
        <v>10900000</v>
      </c>
      <c r="E17">
        <v>13000000</v>
      </c>
    </row>
    <row r="18" spans="1:5" x14ac:dyDescent="0.3">
      <c r="A18" t="s">
        <v>31</v>
      </c>
      <c r="B18">
        <v>1100000</v>
      </c>
      <c r="C18">
        <v>2000500</v>
      </c>
      <c r="D18">
        <v>3000000</v>
      </c>
      <c r="E18">
        <v>3600000</v>
      </c>
    </row>
    <row r="19" spans="1:5" x14ac:dyDescent="0.3">
      <c r="A19" t="s">
        <v>32</v>
      </c>
      <c r="B19">
        <v>20000000</v>
      </c>
      <c r="C19">
        <v>21000000</v>
      </c>
      <c r="D19">
        <v>21000000</v>
      </c>
      <c r="E19">
        <v>23000000</v>
      </c>
    </row>
    <row r="20" spans="1:5" x14ac:dyDescent="0.3">
      <c r="A20" t="s">
        <v>33</v>
      </c>
      <c r="B20">
        <v>1568000</v>
      </c>
      <c r="C20">
        <v>2000000</v>
      </c>
      <c r="D20">
        <v>2900000</v>
      </c>
      <c r="E20">
        <v>2350000</v>
      </c>
    </row>
    <row r="21" spans="1:5" x14ac:dyDescent="0.3">
      <c r="A21" s="1" t="s">
        <v>34</v>
      </c>
      <c r="B21">
        <f>SUM(B17:B20)</f>
        <v>29368000</v>
      </c>
      <c r="C21">
        <f t="shared" ref="C21:E21" si="3">SUM(C17:C20)</f>
        <v>34200500</v>
      </c>
      <c r="D21">
        <f t="shared" si="3"/>
        <v>37800000</v>
      </c>
      <c r="E21">
        <f t="shared" si="3"/>
        <v>41950000</v>
      </c>
    </row>
    <row r="22" spans="1:5" x14ac:dyDescent="0.3">
      <c r="A22" t="s">
        <v>35</v>
      </c>
    </row>
    <row r="23" spans="1:5" x14ac:dyDescent="0.3">
      <c r="A23" t="s">
        <v>36</v>
      </c>
      <c r="B23">
        <v>61000000</v>
      </c>
      <c r="C23">
        <v>67000000</v>
      </c>
      <c r="D23">
        <v>67000000</v>
      </c>
      <c r="E23">
        <v>65000000</v>
      </c>
    </row>
    <row r="24" spans="1:5" x14ac:dyDescent="0.3">
      <c r="A24" s="1" t="s">
        <v>37</v>
      </c>
      <c r="B24">
        <f>B23</f>
        <v>61000000</v>
      </c>
      <c r="C24">
        <f t="shared" ref="C24:E24" si="4">C23</f>
        <v>67000000</v>
      </c>
      <c r="D24">
        <f t="shared" si="4"/>
        <v>67000000</v>
      </c>
      <c r="E24">
        <f t="shared" si="4"/>
        <v>65000000</v>
      </c>
    </row>
    <row r="25" spans="1:5" x14ac:dyDescent="0.3">
      <c r="A25" s="3" t="s">
        <v>38</v>
      </c>
      <c r="B25">
        <f>B21+B24</f>
        <v>90368000</v>
      </c>
      <c r="C25">
        <f t="shared" ref="C25:E25" si="5">C21+C24</f>
        <v>101200500</v>
      </c>
      <c r="D25">
        <f t="shared" si="5"/>
        <v>104800000</v>
      </c>
      <c r="E25">
        <f t="shared" si="5"/>
        <v>106950000</v>
      </c>
    </row>
    <row r="26" spans="1:5" x14ac:dyDescent="0.3">
      <c r="A26" t="s">
        <v>39</v>
      </c>
    </row>
    <row r="27" spans="1:5" x14ac:dyDescent="0.3">
      <c r="A27" t="s">
        <v>40</v>
      </c>
      <c r="B27">
        <v>100000000</v>
      </c>
      <c r="C27">
        <v>100000000</v>
      </c>
      <c r="D27">
        <v>100000000</v>
      </c>
      <c r="E27">
        <v>100000000</v>
      </c>
    </row>
    <row r="28" spans="1:5" x14ac:dyDescent="0.3">
      <c r="A28" t="s">
        <v>41</v>
      </c>
      <c r="B28">
        <v>13500000</v>
      </c>
      <c r="C28">
        <v>15000000</v>
      </c>
      <c r="D28">
        <v>20000000</v>
      </c>
      <c r="E28">
        <v>25000000</v>
      </c>
    </row>
    <row r="29" spans="1:5" x14ac:dyDescent="0.3">
      <c r="A29" t="s">
        <v>42</v>
      </c>
      <c r="B29">
        <v>27000000</v>
      </c>
      <c r="C29">
        <v>26000000</v>
      </c>
      <c r="D29">
        <v>28000000</v>
      </c>
      <c r="E29">
        <v>30000000</v>
      </c>
    </row>
    <row r="30" spans="1:5" x14ac:dyDescent="0.3">
      <c r="A30" s="2" t="s">
        <v>43</v>
      </c>
      <c r="B30">
        <f>SUM(B27:B29)</f>
        <v>140500000</v>
      </c>
      <c r="C30">
        <f t="shared" ref="C30:E30" si="6">SUM(C27:C29)</f>
        <v>141000000</v>
      </c>
      <c r="D30">
        <f t="shared" si="6"/>
        <v>148000000</v>
      </c>
      <c r="E30">
        <f t="shared" si="6"/>
        <v>155000000</v>
      </c>
    </row>
    <row r="31" spans="1:5" x14ac:dyDescent="0.3">
      <c r="A31" s="3" t="s">
        <v>44</v>
      </c>
      <c r="B31">
        <f>B25+B30</f>
        <v>230868000</v>
      </c>
      <c r="C31">
        <f t="shared" ref="C31:E31" si="7">C25+C30</f>
        <v>242200500</v>
      </c>
      <c r="D31">
        <f t="shared" si="7"/>
        <v>252800000</v>
      </c>
      <c r="E31">
        <f t="shared" si="7"/>
        <v>261950000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5D35-B361-407A-9384-6571647A25BE}">
  <dimension ref="A1:K17"/>
  <sheetViews>
    <sheetView workbookViewId="0">
      <selection activeCell="B4" sqref="B4"/>
    </sheetView>
  </sheetViews>
  <sheetFormatPr defaultRowHeight="14" x14ac:dyDescent="0.3"/>
  <cols>
    <col min="1" max="1" width="23.9140625" customWidth="1"/>
  </cols>
  <sheetData>
    <row r="1" spans="1:11" x14ac:dyDescent="0.3">
      <c r="A1" s="5" t="s">
        <v>45</v>
      </c>
      <c r="B1" s="5"/>
      <c r="C1" s="5"/>
      <c r="D1" s="5"/>
      <c r="E1" s="5"/>
    </row>
    <row r="2" spans="1:11" x14ac:dyDescent="0.3">
      <c r="A2" s="5"/>
      <c r="B2" s="5"/>
      <c r="C2" s="5"/>
      <c r="D2" s="5"/>
      <c r="E2" s="5"/>
    </row>
    <row r="3" spans="1:11" x14ac:dyDescent="0.3">
      <c r="A3" t="str">
        <f>'إدخال بيانات قائمة الدخل'!A3</f>
        <v>السنوات</v>
      </c>
      <c r="B3">
        <f>'إدخال بيانات قائمة الدخل'!B3</f>
        <v>1421</v>
      </c>
      <c r="C3">
        <f>'إدخال بيانات قائمة الدخل'!C3</f>
        <v>1422</v>
      </c>
      <c r="D3">
        <f>'إدخال بيانات قائمة الدخل'!D3</f>
        <v>1423</v>
      </c>
      <c r="E3">
        <f>'إدخال بيانات قائمة الدخل'!E3</f>
        <v>1424</v>
      </c>
    </row>
    <row r="4" spans="1:11" x14ac:dyDescent="0.3">
      <c r="A4" t="str">
        <f>'إدخال بيانات قائمة الدخل'!A4</f>
        <v>المبيعات النقدية</v>
      </c>
      <c r="B4" s="4">
        <f>'إدخال بيانات قائمة الدخل'!B4/'إدخال بيانات قائمة الدخل'!$B$6</f>
        <v>0.30769230769230771</v>
      </c>
      <c r="C4" s="4">
        <f>'إدخال بيانات قائمة الدخل'!C4/'إدخال بيانات قائمة الدخل'!$C$6</f>
        <v>0.29411764705882354</v>
      </c>
      <c r="D4" s="4">
        <f>'إدخال بيانات قائمة الدخل'!D4/'إدخال بيانات قائمة الدخل'!$D$6</f>
        <v>0.27884615384615385</v>
      </c>
      <c r="E4" s="4">
        <f>'إدخال بيانات قائمة الدخل'!E4/'إدخال بيانات قائمة الدخل'!$E$6</f>
        <v>0.26724137931034481</v>
      </c>
    </row>
    <row r="5" spans="1:11" x14ac:dyDescent="0.3">
      <c r="A5" t="str">
        <f>'إدخال بيانات قائمة الدخل'!A5</f>
        <v>المبيعات الآجلة</v>
      </c>
      <c r="B5" s="4">
        <f>'إدخال بيانات قائمة الدخل'!B5/'إدخال بيانات قائمة الدخل'!$B$6</f>
        <v>0.69230769230769229</v>
      </c>
      <c r="C5" s="4">
        <f>'إدخال بيانات قائمة الدخل'!C5/'إدخال بيانات قائمة الدخل'!$C$6</f>
        <v>0.70588235294117652</v>
      </c>
      <c r="D5" s="4">
        <f>'إدخال بيانات قائمة الدخل'!D5/'إدخال بيانات قائمة الدخل'!$D$6</f>
        <v>0.72115384615384615</v>
      </c>
      <c r="E5" s="4">
        <f>'إدخال بيانات قائمة الدخل'!E5/'إدخال بيانات قائمة الدخل'!$E$6</f>
        <v>0.73275862068965514</v>
      </c>
    </row>
    <row r="6" spans="1:11" x14ac:dyDescent="0.3">
      <c r="A6" t="str">
        <f>'إدخال بيانات قائمة الدخل'!A6</f>
        <v>صافي المبيعات</v>
      </c>
      <c r="B6" s="4">
        <f>'إدخال بيانات قائمة الدخل'!B6/'إدخال بيانات قائمة الدخل'!$B$6</f>
        <v>1</v>
      </c>
      <c r="C6" s="4">
        <f>'إدخال بيانات قائمة الدخل'!C6/'إدخال بيانات قائمة الدخل'!$C$6</f>
        <v>1</v>
      </c>
      <c r="D6" s="4">
        <f>'إدخال بيانات قائمة الدخل'!D6/'إدخال بيانات قائمة الدخل'!$D$6</f>
        <v>1</v>
      </c>
      <c r="E6" s="4">
        <f>'إدخال بيانات قائمة الدخل'!E6/'إدخال بيانات قائمة الدخل'!$E$6</f>
        <v>1</v>
      </c>
    </row>
    <row r="7" spans="1:11" x14ac:dyDescent="0.3">
      <c r="A7" t="str">
        <f>'إدخال بيانات قائمة الدخل'!A7</f>
        <v>تكلفة المبيعات</v>
      </c>
      <c r="B7" s="4">
        <f>'إدخال بيانات قائمة الدخل'!B7/'إدخال بيانات قائمة الدخل'!$B$6</f>
        <v>0.5</v>
      </c>
      <c r="C7" s="4">
        <f>'إدخال بيانات قائمة الدخل'!C7/'إدخال بيانات قائمة الدخل'!$C$6</f>
        <v>0.5</v>
      </c>
      <c r="D7" s="4">
        <f>'إدخال بيانات قائمة الدخل'!D7/'إدخال بيانات قائمة الدخل'!$D$6</f>
        <v>0.5</v>
      </c>
      <c r="E7" s="4">
        <f>'إدخال بيانات قائمة الدخل'!E7/'إدخال بيانات قائمة الدخل'!$E$6</f>
        <v>0.5</v>
      </c>
    </row>
    <row r="8" spans="1:11" x14ac:dyDescent="0.3">
      <c r="A8" t="str">
        <f>'إدخال بيانات قائمة الدخل'!A8</f>
        <v>مجمل الربح</v>
      </c>
      <c r="B8" s="4">
        <f>'إدخال بيانات قائمة الدخل'!B8/'إدخال بيانات قائمة الدخل'!$B$6</f>
        <v>0.5</v>
      </c>
      <c r="C8" s="4">
        <f>'إدخال بيانات قائمة الدخل'!C8/'إدخال بيانات قائمة الدخل'!$C$6</f>
        <v>0.5</v>
      </c>
      <c r="D8" s="4">
        <f>'إدخال بيانات قائمة الدخل'!D8/'إدخال بيانات قائمة الدخل'!$D$6</f>
        <v>0.5</v>
      </c>
      <c r="E8" s="4">
        <f>'إدخال بيانات قائمة الدخل'!E8/'إدخال بيانات قائمة الدخل'!$E$6</f>
        <v>0.5</v>
      </c>
    </row>
    <row r="9" spans="1:11" x14ac:dyDescent="0.3">
      <c r="A9" t="str">
        <f>'إدخال بيانات قائمة الدخل'!A9</f>
        <v>المصاريف التسويقية</v>
      </c>
      <c r="B9" s="4">
        <f>'إدخال بيانات قائمة الدخل'!B9/'إدخال بيانات قائمة الدخل'!$B$6</f>
        <v>6.1538461538461542E-2</v>
      </c>
      <c r="C9" s="4">
        <f>'إدخال بيانات قائمة الدخل'!C9/'إدخال بيانات قائمة الدخل'!$C$6</f>
        <v>5.2970588235294117E-2</v>
      </c>
      <c r="D9" s="4">
        <f>'إدخال بيانات قائمة الدخل'!D9/'إدخال بيانات قائمة الدخل'!$D$6</f>
        <v>4.807692307692308E-2</v>
      </c>
      <c r="E9" s="4">
        <f>'إدخال بيانات قائمة الدخل'!E9/'إدخال بيانات قائمة الدخل'!$E$6</f>
        <v>5.6034482758620691E-2</v>
      </c>
      <c r="H9" s="7" t="s">
        <v>71</v>
      </c>
      <c r="I9" s="7"/>
      <c r="J9" s="7" t="s">
        <v>70</v>
      </c>
      <c r="K9" s="7"/>
    </row>
    <row r="10" spans="1:11" x14ac:dyDescent="0.3">
      <c r="A10" t="str">
        <f>'إدخال بيانات قائمة الدخل'!A10</f>
        <v>المصاريف الإدارية</v>
      </c>
      <c r="B10" s="4">
        <f>'إدخال بيانات قائمة الدخل'!B10/'إدخال بيانات قائمة الدخل'!$B$6</f>
        <v>0.1076923076923077</v>
      </c>
      <c r="C10" s="4">
        <f>'إدخال بيانات قائمة الدخل'!C10/'إدخال بيانات قائمة الدخل'!$C$6</f>
        <v>9.4117647058823528E-2</v>
      </c>
      <c r="D10" s="4">
        <f>'إدخال بيانات قائمة الدخل'!D10/'إدخال بيانات قائمة الدخل'!$D$6</f>
        <v>9.1346153846153841E-2</v>
      </c>
      <c r="E10" s="4">
        <f>'إدخال بيانات قائمة الدخل'!E10/'إدخال بيانات قائمة الدخل'!$E$6</f>
        <v>8.6241379310344826E-2</v>
      </c>
    </row>
    <row r="11" spans="1:11" x14ac:dyDescent="0.3">
      <c r="A11" t="str">
        <f>'إدخال بيانات قائمة الدخل'!A11</f>
        <v>إجمالي المصاريف التشغيلية</v>
      </c>
      <c r="B11" s="4">
        <f>'إدخال بيانات قائمة الدخل'!B11/'إدخال بيانات قائمة الدخل'!$B$6</f>
        <v>0.16923076923076924</v>
      </c>
      <c r="C11" s="4">
        <f>'إدخال بيانات قائمة الدخل'!C11/'إدخال بيانات قائمة الدخل'!$C$6</f>
        <v>0.14708823529411766</v>
      </c>
      <c r="D11" s="4">
        <f>'إدخال بيانات قائمة الدخل'!D11/'إدخال بيانات قائمة الدخل'!$D$6</f>
        <v>0.13942307692307693</v>
      </c>
      <c r="E11" s="4">
        <f>'إدخال بيانات قائمة الدخل'!E11/'إدخال بيانات قائمة الدخل'!$E$6</f>
        <v>0.14227586206896553</v>
      </c>
    </row>
    <row r="12" spans="1:11" x14ac:dyDescent="0.3">
      <c r="A12" t="str">
        <f>'إدخال بيانات قائمة الدخل'!A12</f>
        <v>صافي ربح العمليات الرئيسية</v>
      </c>
      <c r="B12" s="4">
        <f>'إدخال بيانات قائمة الدخل'!B12/'إدخال بيانات قائمة الدخل'!$B$6</f>
        <v>0.33076923076923076</v>
      </c>
      <c r="C12" s="4">
        <f>'إدخال بيانات قائمة الدخل'!C12/'إدخال بيانات قائمة الدخل'!$C$6</f>
        <v>0.35291176470588237</v>
      </c>
      <c r="D12" s="4">
        <f>'إدخال بيانات قائمة الدخل'!D12/'إدخال بيانات قائمة الدخل'!$D$6</f>
        <v>0.36057692307692307</v>
      </c>
      <c r="E12" s="4">
        <f>'إدخال بيانات قائمة الدخل'!E12/'إدخال بيانات قائمة الدخل'!$E$6</f>
        <v>0.35772413793103447</v>
      </c>
    </row>
    <row r="13" spans="1:11" x14ac:dyDescent="0.3">
      <c r="A13" t="str">
        <f>'إدخال بيانات قائمة الدخل'!A13</f>
        <v>الإيرادات غير التشغيلية</v>
      </c>
      <c r="B13" s="4">
        <f>'إدخال بيانات قائمة الدخل'!B13/'إدخال بيانات قائمة الدخل'!$B$6</f>
        <v>2.3076923076923078E-2</v>
      </c>
      <c r="C13" s="4">
        <f>'إدخال بيانات قائمة الدخل'!C13/'إدخال بيانات قائمة الدخل'!$C$6</f>
        <v>2.1176470588235293E-2</v>
      </c>
      <c r="D13" s="4">
        <f>'إدخال بيانات قائمة الدخل'!D13/'إدخال بيانات قائمة الدخل'!$D$6</f>
        <v>2.2596153846153846E-2</v>
      </c>
      <c r="E13" s="4">
        <f>'إدخال بيانات قائمة الدخل'!E13/'إدخال بيانات قائمة الدخل'!$E$6</f>
        <v>2.0258620689655171E-2</v>
      </c>
    </row>
    <row r="14" spans="1:11" x14ac:dyDescent="0.3">
      <c r="A14" t="str">
        <f>'إدخال بيانات قائمة الدخل'!A14</f>
        <v>المصروفات غير التشغيلية</v>
      </c>
      <c r="B14" s="4">
        <f>'إدخال بيانات قائمة الدخل'!B14/'إدخال بيانات قائمة الدخل'!$B$6</f>
        <v>1.9230769230769232E-2</v>
      </c>
      <c r="C14" s="4">
        <f>'إدخال بيانات قائمة الدخل'!C14/'إدخال بيانات قائمة الدخل'!$C$6</f>
        <v>1.7647058823529412E-2</v>
      </c>
      <c r="D14" s="4">
        <f>'إدخال بيانات قائمة الدخل'!D14/'إدخال بيانات قائمة الدخل'!$D$6</f>
        <v>1.3942307692307693E-2</v>
      </c>
      <c r="E14" s="4">
        <f>'إدخال بيانات قائمة الدخل'!E14/'إدخال بيانات قائمة الدخل'!$E$6</f>
        <v>5.1724137931034482E-3</v>
      </c>
    </row>
    <row r="15" spans="1:11" x14ac:dyDescent="0.3">
      <c r="A15" t="str">
        <f>'إدخال بيانات قائمة الدخل'!A15</f>
        <v>صافي الربح قبل الزكاة والضريبة</v>
      </c>
      <c r="B15" s="4">
        <f>'إدخال بيانات قائمة الدخل'!B15/'إدخال بيانات قائمة الدخل'!$B$6</f>
        <v>0.33461538461538459</v>
      </c>
      <c r="C15" s="4">
        <f>'إدخال بيانات قائمة الدخل'!C15/'إدخال بيانات قائمة الدخل'!$C$6</f>
        <v>0.35644117647058826</v>
      </c>
      <c r="D15" s="4">
        <f>'إدخال بيانات قائمة الدخل'!D15/'إدخال بيانات قائمة الدخل'!$D$6</f>
        <v>0.36923076923076925</v>
      </c>
      <c r="E15" s="4">
        <f>'إدخال بيانات قائمة الدخل'!E15/'إدخال بيانات قائمة الدخل'!$E$6</f>
        <v>0.37281034482758618</v>
      </c>
    </row>
    <row r="16" spans="1:11" x14ac:dyDescent="0.3">
      <c r="A16" t="str">
        <f>'إدخال بيانات قائمة الدخل'!A16</f>
        <v>الزكاة والضريبة 5%</v>
      </c>
      <c r="B16" s="4">
        <f>'إدخال بيانات قائمة الدخل'!B16/'إدخال بيانات قائمة الدخل'!$B$6</f>
        <v>1.673076923076923E-2</v>
      </c>
      <c r="C16" s="4">
        <f>'إدخال بيانات قائمة الدخل'!C16/'إدخال بيانات قائمة الدخل'!$C$6</f>
        <v>1.7822058823529413E-2</v>
      </c>
      <c r="D16" s="4">
        <f>'إدخال بيانات قائمة الدخل'!D16/'إدخال بيانات قائمة الدخل'!$D$6</f>
        <v>1.8461538461538463E-2</v>
      </c>
      <c r="E16" s="4">
        <f>'إدخال بيانات قائمة الدخل'!E16/'إدخال بيانات قائمة الدخل'!$E$6</f>
        <v>1.8640517241379311E-2</v>
      </c>
    </row>
    <row r="17" spans="1:5" x14ac:dyDescent="0.3">
      <c r="A17" t="str">
        <f>'إدخال بيانات قائمة الدخل'!A17</f>
        <v>صافي الربح بعد الزكاة والضريبة</v>
      </c>
      <c r="B17" s="4">
        <f>'إدخال بيانات قائمة الدخل'!B17/'إدخال بيانات قائمة الدخل'!$B$6</f>
        <v>0.31788461538461538</v>
      </c>
      <c r="C17" s="4">
        <f>'إدخال بيانات قائمة الدخل'!C17/'إدخال بيانات قائمة الدخل'!$C$6</f>
        <v>0.33861911764705882</v>
      </c>
      <c r="D17" s="4">
        <f>'إدخال بيانات قائمة الدخل'!D17/'إدخال بيانات قائمة الدخل'!$D$6</f>
        <v>0.35076923076923078</v>
      </c>
      <c r="E17" s="4">
        <f>'إدخال بيانات قائمة الدخل'!E17/'إدخال بيانات قائمة الدخل'!$E$6</f>
        <v>0.35416982758620691</v>
      </c>
    </row>
  </sheetData>
  <mergeCells count="3">
    <mergeCell ref="A1:E2"/>
    <mergeCell ref="J9:K9"/>
    <mergeCell ref="H9:I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F1FE-3335-4DB8-B495-D9DF2C94B4DB}">
  <dimension ref="A1:L19"/>
  <sheetViews>
    <sheetView workbookViewId="0">
      <selection activeCell="B4" sqref="B4:E17"/>
    </sheetView>
  </sheetViews>
  <sheetFormatPr defaultRowHeight="14" x14ac:dyDescent="0.3"/>
  <cols>
    <col min="1" max="1" width="20.33203125" customWidth="1"/>
  </cols>
  <sheetData>
    <row r="1" spans="1:5" x14ac:dyDescent="0.3">
      <c r="A1" s="5" t="s">
        <v>46</v>
      </c>
      <c r="B1" s="5"/>
      <c r="C1" s="5"/>
      <c r="D1" s="5"/>
      <c r="E1" s="5"/>
    </row>
    <row r="2" spans="1:5" x14ac:dyDescent="0.3">
      <c r="A2" s="5"/>
      <c r="B2" s="5"/>
      <c r="C2" s="5"/>
      <c r="D2" s="5"/>
      <c r="E2" s="5"/>
    </row>
    <row r="3" spans="1:5" x14ac:dyDescent="0.3">
      <c r="A3" t="str">
        <f>'إدخال بيانات قائمة الدخل'!A3</f>
        <v>السنوات</v>
      </c>
      <c r="B3">
        <f>'إدخال بيانات قائمة الدخل'!B3</f>
        <v>1421</v>
      </c>
      <c r="C3">
        <f>'إدخال بيانات قائمة الدخل'!C3</f>
        <v>1422</v>
      </c>
      <c r="D3">
        <f>'إدخال بيانات قائمة الدخل'!D3</f>
        <v>1423</v>
      </c>
      <c r="E3">
        <f>'إدخال بيانات قائمة الدخل'!E3</f>
        <v>1424</v>
      </c>
    </row>
    <row r="4" spans="1:5" x14ac:dyDescent="0.3">
      <c r="A4" t="str">
        <f>'إدخال بيانات قائمة الدخل'!A4</f>
        <v>المبيعات النقدية</v>
      </c>
      <c r="B4" s="4">
        <f>'إدخال بيانات قائمة الدخل'!B4/'إدخال بيانات قائمة الدخل'!$B$4</f>
        <v>1</v>
      </c>
      <c r="C4" s="4">
        <f>'إدخال بيانات قائمة الدخل'!C4/'إدخال بيانات قائمة الدخل'!$B$4</f>
        <v>1.25</v>
      </c>
      <c r="D4" s="4">
        <f>'إدخال بيانات قائمة الدخل'!D4/'إدخال بيانات قائمة الدخل'!$B$4</f>
        <v>1.45</v>
      </c>
      <c r="E4" s="4">
        <f>'إدخال بيانات قائمة الدخل'!E4/'إدخال بيانات قائمة الدخل'!$B$4</f>
        <v>1.55</v>
      </c>
    </row>
    <row r="5" spans="1:5" x14ac:dyDescent="0.3">
      <c r="A5" t="str">
        <f>'إدخال بيانات قائمة الدخل'!A5</f>
        <v>المبيعات الآجلة</v>
      </c>
      <c r="B5" s="4">
        <f>'إدخال بيانات قائمة الدخل'!B5/'إدخال بيانات قائمة الدخل'!$B$5</f>
        <v>1</v>
      </c>
      <c r="C5" s="4">
        <f>'إدخال بيانات قائمة الدخل'!C5/'إدخال بيانات قائمة الدخل'!$B$5</f>
        <v>1.3333333333333333</v>
      </c>
      <c r="D5" s="4">
        <f>'إدخال بيانات قائمة الدخل'!D5/'إدخال بيانات قائمة الدخل'!$B$5</f>
        <v>1.6666666666666667</v>
      </c>
      <c r="E5" s="4">
        <f>'إدخال بيانات قائمة الدخل'!E5/'إدخال بيانات قائمة الدخل'!$B$5</f>
        <v>1.8888888888888888</v>
      </c>
    </row>
    <row r="6" spans="1:5" x14ac:dyDescent="0.3">
      <c r="A6" t="str">
        <f>'إدخال بيانات قائمة الدخل'!A6</f>
        <v>صافي المبيعات</v>
      </c>
      <c r="B6" s="4">
        <f>'إدخال بيانات قائمة الدخل'!B6/'إدخال بيانات قائمة الدخل'!$B$6</f>
        <v>1</v>
      </c>
      <c r="C6" s="4">
        <f>'إدخال بيانات قائمة الدخل'!C6/'إدخال بيانات قائمة الدخل'!$B$6</f>
        <v>1.3076923076923077</v>
      </c>
      <c r="D6" s="4">
        <f>'إدخال بيانات قائمة الدخل'!D6/'إدخال بيانات قائمة الدخل'!$B$6</f>
        <v>1.6</v>
      </c>
      <c r="E6" s="4">
        <f>'إدخال بيانات قائمة الدخل'!E6/'إدخال بيانات قائمة الدخل'!$B$6</f>
        <v>1.7846153846153847</v>
      </c>
    </row>
    <row r="7" spans="1:5" x14ac:dyDescent="0.3">
      <c r="A7" t="str">
        <f>'إدخال بيانات قائمة الدخل'!A7</f>
        <v>تكلفة المبيعات</v>
      </c>
      <c r="B7" s="4">
        <f>'إدخال بيانات قائمة الدخل'!B7/'إدخال بيانات قائمة الدخل'!$B$7</f>
        <v>1</v>
      </c>
      <c r="C7" s="4">
        <f>'إدخال بيانات قائمة الدخل'!C7/'إدخال بيانات قائمة الدخل'!$B$7</f>
        <v>1.3076923076923077</v>
      </c>
      <c r="D7" s="4">
        <f>'إدخال بيانات قائمة الدخل'!D7/'إدخال بيانات قائمة الدخل'!$B$7</f>
        <v>1.6</v>
      </c>
      <c r="E7" s="4">
        <f>'إدخال بيانات قائمة الدخل'!E7/'إدخال بيانات قائمة الدخل'!$B$7</f>
        <v>1.7846153846153847</v>
      </c>
    </row>
    <row r="8" spans="1:5" x14ac:dyDescent="0.3">
      <c r="A8" t="str">
        <f>'إدخال بيانات قائمة الدخل'!A8</f>
        <v>مجمل الربح</v>
      </c>
      <c r="B8" s="4">
        <f>'إدخال بيانات قائمة الدخل'!B8/'إدخال بيانات قائمة الدخل'!$B$8</f>
        <v>1</v>
      </c>
      <c r="C8" s="4">
        <f>'إدخال بيانات قائمة الدخل'!C8/'إدخال بيانات قائمة الدخل'!$B$8</f>
        <v>1.3076923076923077</v>
      </c>
      <c r="D8" s="4">
        <f>'إدخال بيانات قائمة الدخل'!D8/'إدخال بيانات قائمة الدخل'!$B$8</f>
        <v>1.6</v>
      </c>
      <c r="E8" s="4">
        <f>'إدخال بيانات قائمة الدخل'!E8/'إدخال بيانات قائمة الدخل'!$B$8</f>
        <v>1.7846153846153847</v>
      </c>
    </row>
    <row r="9" spans="1:5" x14ac:dyDescent="0.3">
      <c r="A9" t="str">
        <f>'إدخال بيانات قائمة الدخل'!A9</f>
        <v>المصاريف التسويقية</v>
      </c>
      <c r="B9" s="4">
        <f>'إدخال بيانات قائمة الدخل'!B9/'إدخال بيانات قائمة الدخل'!$B$9</f>
        <v>1</v>
      </c>
      <c r="C9" s="4">
        <f>'إدخال بيانات قائمة الدخل'!C9/'إدخال بيانات قائمة الدخل'!$B$9</f>
        <v>1.1256250000000001</v>
      </c>
      <c r="D9" s="4">
        <f>'إدخال بيانات قائمة الدخل'!D9/'إدخال بيانات قائمة الدخل'!$B$9</f>
        <v>1.25</v>
      </c>
      <c r="E9" s="4">
        <f>'إدخال بيانات قائمة الدخل'!E9/'إدخال بيانات قائمة الدخل'!$B$9</f>
        <v>1.625</v>
      </c>
    </row>
    <row r="10" spans="1:5" x14ac:dyDescent="0.3">
      <c r="A10" t="str">
        <f>'إدخال بيانات قائمة الدخل'!A10</f>
        <v>المصاريف الإدارية</v>
      </c>
      <c r="B10" s="4">
        <f>'إدخال بيانات قائمة الدخل'!B10/'إدخال بيانات قائمة الدخل'!$B$10</f>
        <v>1</v>
      </c>
      <c r="C10" s="4">
        <f>'إدخال بيانات قائمة الدخل'!C10/'إدخال بيانات قائمة الدخل'!$B$10</f>
        <v>1.1428571428571428</v>
      </c>
      <c r="D10" s="4">
        <f>'إدخال بيانات قائمة الدخل'!D10/'إدخال بيانات قائمة الدخل'!$B$10</f>
        <v>1.3571428571428572</v>
      </c>
      <c r="E10" s="4">
        <f>'إدخال بيانات قائمة الدخل'!E10/'إدخال بيانات قائمة الدخل'!$B$10</f>
        <v>1.429142857142857</v>
      </c>
    </row>
    <row r="11" spans="1:5" x14ac:dyDescent="0.3">
      <c r="A11" t="str">
        <f>'إدخال بيانات قائمة الدخل'!A11</f>
        <v>إجمالي المصاريف التشغيلية</v>
      </c>
      <c r="B11" s="4">
        <f>'إدخال بيانات قائمة الدخل'!B11/'إدخال بيانات قائمة الدخل'!$B$11</f>
        <v>1</v>
      </c>
      <c r="C11" s="4">
        <f>'إدخال بيانات قائمة الدخل'!C11/'إدخال بيانات قائمة الدخل'!$B$11</f>
        <v>1.136590909090909</v>
      </c>
      <c r="D11" s="4">
        <f>'إدخال بيانات قائمة الدخل'!D11/'إدخال بيانات قائمة الدخل'!$B$11</f>
        <v>1.3181818181818181</v>
      </c>
      <c r="E11" s="4">
        <f>'إدخال بيانات قائمة الدخل'!E11/'إدخال بيانات قائمة الدخل'!$B$11</f>
        <v>1.5003636363636363</v>
      </c>
    </row>
    <row r="12" spans="1:5" x14ac:dyDescent="0.3">
      <c r="A12" t="str">
        <f>'إدخال بيانات قائمة الدخل'!A12</f>
        <v>صافي ربح العمليات الرئيسية</v>
      </c>
      <c r="B12" s="4">
        <f>'إدخال بيانات قائمة الدخل'!B12/'إدخال بيانات قائمة الدخل'!$B$12</f>
        <v>1</v>
      </c>
      <c r="C12" s="4">
        <f>'إدخال بيانات قائمة الدخل'!C12/'إدخال بيانات قائمة الدخل'!$B$12</f>
        <v>1.3952325581395348</v>
      </c>
      <c r="D12" s="4">
        <f>'إدخال بيانات قائمة الدخل'!D12/'إدخال بيانات قائمة الدخل'!$B$12</f>
        <v>1.7441860465116279</v>
      </c>
      <c r="E12" s="4">
        <f>'إدخال بيانات قائمة الدخل'!E12/'إدخال بيانات قائمة الدخل'!$B$12</f>
        <v>1.9300465116279071</v>
      </c>
    </row>
    <row r="13" spans="1:5" x14ac:dyDescent="0.3">
      <c r="A13" t="str">
        <f>'إدخال بيانات قائمة الدخل'!A13</f>
        <v>الإيرادات غير التشغيلية</v>
      </c>
      <c r="B13" s="4">
        <f>'إدخال بيانات قائمة الدخل'!B13/'إدخال بيانات قائمة الدخل'!$B$13</f>
        <v>1</v>
      </c>
      <c r="C13" s="4">
        <f>'إدخال بيانات قائمة الدخل'!C13/'إدخال بيانات قائمة الدخل'!$B$13</f>
        <v>1.2</v>
      </c>
      <c r="D13" s="4">
        <f>'إدخال بيانات قائمة الدخل'!D13/'إدخال بيانات قائمة الدخل'!$B$13</f>
        <v>1.5666666666666667</v>
      </c>
      <c r="E13" s="4">
        <f>'إدخال بيانات قائمة الدخل'!E13/'إدخال بيانات قائمة الدخل'!$B$13</f>
        <v>1.5666666666666667</v>
      </c>
    </row>
    <row r="14" spans="1:5" x14ac:dyDescent="0.3">
      <c r="A14" t="str">
        <f>'إدخال بيانات قائمة الدخل'!A14</f>
        <v>المصروفات غير التشغيلية</v>
      </c>
      <c r="B14" s="4">
        <f>'إدخال بيانات قائمة الدخل'!B14/'إدخال بيانات قائمة الدخل'!$B$14</f>
        <v>1</v>
      </c>
      <c r="C14" s="4">
        <f>'إدخال بيانات قائمة الدخل'!C14/'إدخال بيانات قائمة الدخل'!$B$14</f>
        <v>1.2</v>
      </c>
      <c r="D14" s="4">
        <f>'إدخال بيانات قائمة الدخل'!D14/'إدخال بيانات قائمة الدخل'!$B$14</f>
        <v>1.1599999999999999</v>
      </c>
      <c r="E14" s="4">
        <f>'إدخال بيانات قائمة الدخل'!E14/'إدخال بيانات قائمة الدخل'!$B$14</f>
        <v>0.48</v>
      </c>
    </row>
    <row r="15" spans="1:5" x14ac:dyDescent="0.3">
      <c r="A15" t="str">
        <f>'إدخال بيانات قائمة الدخل'!A15</f>
        <v>صافي الربح قبل الزكاة والضريبة</v>
      </c>
      <c r="B15" s="4">
        <f>'إدخال بيانات قائمة الدخل'!B15/'إدخال بيانات قائمة الدخل'!$B$15</f>
        <v>1</v>
      </c>
      <c r="C15" s="4">
        <f>'إدخال بيانات قائمة الدخل'!C15/'إدخال بيانات قائمة الدخل'!$B$15</f>
        <v>1.3929885057471265</v>
      </c>
      <c r="D15" s="4">
        <f>'إدخال بيانات قائمة الدخل'!D15/'إدخال بيانات قائمة الدخل'!$B$15</f>
        <v>1.7655172413793103</v>
      </c>
      <c r="E15" s="4">
        <f>'إدخال بيانات قائمة الدخل'!E15/'إدخال بيانات قائمة الدخل'!$B$15</f>
        <v>1.9883218390804598</v>
      </c>
    </row>
    <row r="16" spans="1:5" x14ac:dyDescent="0.3">
      <c r="A16" t="str">
        <f>'إدخال بيانات قائمة الدخل'!A16</f>
        <v>الزكاة والضريبة 5%</v>
      </c>
      <c r="B16" s="4">
        <f>'إدخال بيانات قائمة الدخل'!B16/'إدخال بيانات قائمة الدخل'!$B$16</f>
        <v>1</v>
      </c>
      <c r="C16" s="4">
        <f>'إدخال بيانات قائمة الدخل'!C16/'إدخال بيانات قائمة الدخل'!$B$16</f>
        <v>1.3929885057471265</v>
      </c>
      <c r="D16" s="4">
        <f>'إدخال بيانات قائمة الدخل'!D16/'إدخال بيانات قائمة الدخل'!$B$16</f>
        <v>1.7655172413793103</v>
      </c>
      <c r="E16" s="4">
        <f>'إدخال بيانات قائمة الدخل'!E16/'إدخال بيانات قائمة الدخل'!$B$16</f>
        <v>1.9883218390804598</v>
      </c>
    </row>
    <row r="17" spans="1:12" x14ac:dyDescent="0.3">
      <c r="A17" t="str">
        <f>'إدخال بيانات قائمة الدخل'!A17</f>
        <v>صافي الربح بعد الزكاة والضريبة</v>
      </c>
      <c r="B17" s="4">
        <f>'إدخال بيانات قائمة الدخل'!B17/'إدخال بيانات قائمة الدخل'!$B$17</f>
        <v>1</v>
      </c>
      <c r="C17" s="4">
        <f>'إدخال بيانات قائمة الدخل'!C17/'إدخال بيانات قائمة الدخل'!$B$17</f>
        <v>1.3929885057471265</v>
      </c>
      <c r="D17" s="4">
        <f>'إدخال بيانات قائمة الدخل'!D17/'إدخال بيانات قائمة الدخل'!$B$17</f>
        <v>1.7655172413793103</v>
      </c>
      <c r="E17" s="4">
        <f>'إدخال بيانات قائمة الدخل'!E17/'إدخال بيانات قائمة الدخل'!$B$17</f>
        <v>1.9883218390804598</v>
      </c>
    </row>
    <row r="19" spans="1:12" x14ac:dyDescent="0.3">
      <c r="I19" s="7" t="s">
        <v>72</v>
      </c>
      <c r="J19" s="7"/>
      <c r="K19" s="7"/>
      <c r="L19" s="7"/>
    </row>
  </sheetData>
  <mergeCells count="2">
    <mergeCell ref="A1:E2"/>
    <mergeCell ref="I19:L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E490-B187-4F55-8DA5-D18CD3594344}">
  <dimension ref="A1:M31"/>
  <sheetViews>
    <sheetView workbookViewId="0">
      <selection activeCell="E17" sqref="E17:E31"/>
    </sheetView>
  </sheetViews>
  <sheetFormatPr defaultRowHeight="14" x14ac:dyDescent="0.3"/>
  <cols>
    <col min="1" max="1" width="17.1640625" customWidth="1"/>
    <col min="12" max="12" width="47.4140625" customWidth="1"/>
  </cols>
  <sheetData>
    <row r="1" spans="1:13" x14ac:dyDescent="0.3">
      <c r="A1" s="5" t="s">
        <v>47</v>
      </c>
      <c r="B1" s="5"/>
      <c r="C1" s="5"/>
      <c r="D1" s="5"/>
      <c r="E1" s="5"/>
      <c r="F1" s="5"/>
    </row>
    <row r="2" spans="1:13" x14ac:dyDescent="0.3">
      <c r="A2" s="5"/>
      <c r="B2" s="5"/>
      <c r="C2" s="5"/>
      <c r="D2" s="5"/>
      <c r="E2" s="5"/>
      <c r="F2" s="5"/>
    </row>
    <row r="3" spans="1:13" x14ac:dyDescent="0.3">
      <c r="A3" t="str">
        <f>'إدخال بيانات المركز المالي'!A3</f>
        <v>السنوات</v>
      </c>
      <c r="B3">
        <f>'إدخال بيانات المركز المالي'!B3</f>
        <v>1421</v>
      </c>
      <c r="C3">
        <f>'إدخال بيانات المركز المالي'!C3</f>
        <v>1422</v>
      </c>
      <c r="D3">
        <f>'إدخال بيانات المركز المالي'!D3</f>
        <v>1423</v>
      </c>
      <c r="E3">
        <f>'إدخال بيانات المركز المالي'!E3</f>
        <v>1424</v>
      </c>
    </row>
    <row r="4" spans="1:13" x14ac:dyDescent="0.3">
      <c r="A4" t="str">
        <f>'إدخال بيانات المركز المالي'!A4</f>
        <v>الأصول المتداولة</v>
      </c>
    </row>
    <row r="5" spans="1:13" x14ac:dyDescent="0.3">
      <c r="A5" t="str">
        <f>'إدخال بيانات المركز المالي'!A5</f>
        <v>نقدية</v>
      </c>
      <c r="B5" s="4">
        <f>'إدخال بيانات المركز المالي'!B5/'إدخال بيانات المركز المالي'!$B$15</f>
        <v>1.29944383803732E-2</v>
      </c>
      <c r="C5" s="4">
        <f>'إدخال بيانات المركز المالي'!C5/'إدخال بيانات المركز المالي'!$C$15</f>
        <v>1.6515242536658679E-2</v>
      </c>
      <c r="D5" s="4">
        <f>'إدخال بيانات المركز المالي'!D5/'إدخال بيانات المركز المالي'!$D$15</f>
        <v>1.9778481012658229E-2</v>
      </c>
      <c r="E5" s="4">
        <f>'إدخال بيانات المركز المالي'!E5/'إدخال بيانات المركز المالي'!$E$15</f>
        <v>2.6722656995609849E-2</v>
      </c>
    </row>
    <row r="6" spans="1:13" x14ac:dyDescent="0.3">
      <c r="A6" t="str">
        <f>'إدخال بيانات المركز المالي'!A6</f>
        <v>استثمارات قصيرة الاجل</v>
      </c>
      <c r="B6" s="4">
        <f>'إدخال بيانات المركز المالي'!B6/'إدخال بيانات المركز المالي'!$B$15</f>
        <v>5.1977753521492802E-2</v>
      </c>
      <c r="C6" s="4">
        <f>'إدخال بيانات المركز المالي'!C6/'إدخال بيانات المركز المالي'!$C$15</f>
        <v>5.780334887830537E-2</v>
      </c>
      <c r="D6" s="4">
        <f>'إدخال بيانات المركز المالي'!D6/'إدخال بيانات المركز المالي'!$D$15</f>
        <v>7.5158227848101264E-2</v>
      </c>
      <c r="E6" s="4">
        <f>'إدخال بيانات المركز المالي'!E6/'إدخال بيانات المركز المالي'!$E$15</f>
        <v>9.1620538270662341E-2</v>
      </c>
    </row>
    <row r="7" spans="1:13" x14ac:dyDescent="0.3">
      <c r="A7" t="str">
        <f>'إدخال بيانات المركز المالي'!A7</f>
        <v>مدينون</v>
      </c>
      <c r="B7" s="4">
        <f>'إدخال بيانات المركز المالي'!B7/'إدخال بيانات المركز المالي'!$B$15</f>
        <v>2.1224249354609561E-2</v>
      </c>
      <c r="C7" s="4">
        <f>'إدخال بيانات المركز المالي'!C7/'إدخال بيانات المركز المالي'!$C$15</f>
        <v>1.8579647853741013E-2</v>
      </c>
      <c r="D7" s="4">
        <f>'إدخال بيانات المركز المالي'!D7/'إدخال بيانات المركز المالي'!$D$15</f>
        <v>2.0569620253164556E-2</v>
      </c>
      <c r="E7" s="4">
        <f>'إدخال بيانات المركز المالي'!E7/'إدخال بيانات المركز المالي'!$E$15</f>
        <v>2.5959152510020997E-2</v>
      </c>
    </row>
    <row r="8" spans="1:13" x14ac:dyDescent="0.3">
      <c r="A8" t="str">
        <f>'إدخال بيانات المركز المالي'!A8</f>
        <v>أوراق القبض</v>
      </c>
      <c r="B8" s="4">
        <f>'إدخال بيانات المركز المالي'!B8/'إدخال بيانات المركز المالي'!$B$15</f>
        <v>1.51601781104354E-2</v>
      </c>
      <c r="C8" s="4">
        <f>'إدخال بيانات المركز المالي'!C8/'إدخال بيانات المركز المالي'!$C$15</f>
        <v>1.6102361473242212E-2</v>
      </c>
      <c r="D8" s="4">
        <f>'إدخال بيانات المركز المالي'!D8/'إدخال بيانات المركز المالي'!$D$15</f>
        <v>1.641613924050633E-2</v>
      </c>
      <c r="E8" s="4">
        <f>'إدخال بيانات المركز المالي'!E8/'إدخال بيانات المركز المالي'!$E$15</f>
        <v>1.9087612139721322E-2</v>
      </c>
    </row>
    <row r="9" spans="1:13" x14ac:dyDescent="0.3">
      <c r="A9" t="str">
        <f>'إدخال بيانات المركز المالي'!A9</f>
        <v>مخزون سلعي</v>
      </c>
      <c r="B9" s="4">
        <f>'إدخال بيانات المركز المالي'!B9/'إدخال بيانات المركز المالي'!$B$15</f>
        <v>3.5518131573020084E-2</v>
      </c>
      <c r="C9" s="4">
        <f>'إدخال بيانات المركز المالي'!C9/'إدخال بيانات المركز المالي'!$C$15</f>
        <v>3.757217677089849E-2</v>
      </c>
      <c r="D9" s="4">
        <f>'إدخال بيانات المركز المالي'!D9/'إدخال بيانات المركز المالي'!$D$15</f>
        <v>3.9556962025316458E-2</v>
      </c>
      <c r="E9" s="4">
        <f>'إدخال بيانات المركز المالي'!E9/'إدخال بيانات المركز المالي'!$E$15</f>
        <v>4.3138003435770185E-2</v>
      </c>
    </row>
    <row r="10" spans="1:13" x14ac:dyDescent="0.3">
      <c r="A10" t="str">
        <f>'إدخال بيانات المركز المالي'!A10</f>
        <v>مصروفات مقدمة</v>
      </c>
      <c r="B10" s="4">
        <f>'إدخال بيانات المركز المالي'!B10/'إدخال بيانات المركز المالي'!$B$15</f>
        <v>4.8512569953393283E-4</v>
      </c>
      <c r="C10" s="4">
        <f>'إدخال بيانات المركز المالي'!C10/'إدخال بيانات المركز المالي'!$C$15</f>
        <v>5.2435895053891304E-4</v>
      </c>
      <c r="D10" s="4">
        <f>'إدخال بيانات المركز المالي'!D10/'إدخال بيانات المركز المالي'!$D$15</f>
        <v>3.9556962025316455E-4</v>
      </c>
      <c r="E10" s="4">
        <f>'إدخال بيانات المركز المالي'!E10/'إدخال بيانات المركز المالي'!$E$15</f>
        <v>5.7262836419163968E-4</v>
      </c>
      <c r="I10" s="7" t="s">
        <v>73</v>
      </c>
      <c r="J10" s="7"/>
      <c r="K10" s="7"/>
      <c r="L10" s="7"/>
      <c r="M10" s="6"/>
    </row>
    <row r="11" spans="1:13" x14ac:dyDescent="0.3">
      <c r="A11" t="str">
        <f>'إدخال بيانات المركز المالي'!A11</f>
        <v>مجموع الأصول المتداولة</v>
      </c>
      <c r="B11" s="4">
        <f>'إدخال بيانات المركز المالي'!B11/'إدخال بيانات المركز المالي'!$B$15</f>
        <v>0.13735987663946497</v>
      </c>
      <c r="C11" s="4">
        <f>'إدخال بيانات المركز المالي'!C11/'إدخال بيانات المركز المالي'!$C$15</f>
        <v>0.14709713646338468</v>
      </c>
      <c r="D11" s="4">
        <f>'إدخال بيانات المركز المالي'!D11/'إدخال بيانات المركز المالي'!$D$15</f>
        <v>0.171875</v>
      </c>
      <c r="E11" s="4">
        <f>'إدخال بيانات المركز المالي'!E11/'إدخال بيانات المركز المالي'!$E$15</f>
        <v>0.20710059171597633</v>
      </c>
    </row>
    <row r="12" spans="1:13" x14ac:dyDescent="0.3">
      <c r="A12" t="str">
        <f>'إدخال بيانات المركز المالي'!A12</f>
        <v>الأصول الثابتة</v>
      </c>
      <c r="B12" s="4">
        <f>'إدخال بيانات المركز المالي'!B12/'إدخال بيانات المركز المالي'!$B$15</f>
        <v>0.89921513592182545</v>
      </c>
      <c r="C12" s="4">
        <f>'إدخال بيانات المركز المالي'!C12/'إدخال بيانات المركز المالي'!$C$15</f>
        <v>0.89119551776317552</v>
      </c>
      <c r="D12" s="4">
        <f>'إدخال بيانات المركز المالي'!D12/'إدخال بيانات المركز المالي'!$D$15</f>
        <v>0.87954905063291144</v>
      </c>
      <c r="E12" s="4">
        <f>'إدخال بيانات المركز المالي'!E12/'إدخال بيانات المركز المالي'!$E$15</f>
        <v>0.8547432716167207</v>
      </c>
    </row>
    <row r="13" spans="1:13" x14ac:dyDescent="0.3">
      <c r="A13" t="str">
        <f>'إدخال بيانات المركز المالي'!A13</f>
        <v>مجمع الاستهلاك</v>
      </c>
      <c r="B13" s="4">
        <f>'إدخال بيانات المركز المالي'!B13/'إدخال بيانات المركز المالي'!$B$15</f>
        <v>3.6575012561290435E-2</v>
      </c>
      <c r="C13" s="4">
        <f>'إدخال بيانات المركز المالي'!C13/'إدخال بيانات المركز المالي'!$C$15</f>
        <v>3.8292654226560224E-2</v>
      </c>
      <c r="D13" s="4">
        <f>'إدخال بيانات المركز المالي'!D13/'إدخال بيانات المركز المالي'!$D$15</f>
        <v>5.1424050632911396E-2</v>
      </c>
      <c r="E13" s="4">
        <f>'إدخال بيانات المركز المالي'!E13/'إدخال بيانات المركز المالي'!$E$15</f>
        <v>6.1843863332697077E-2</v>
      </c>
    </row>
    <row r="14" spans="1:13" x14ac:dyDescent="0.3">
      <c r="A14" t="str">
        <f>'إدخال بيانات المركز المالي'!A14</f>
        <v>صافي الأصول الثابتة</v>
      </c>
      <c r="B14" s="4">
        <f>'إدخال بيانات المركز المالي'!B14/'إدخال بيانات المركز المالي'!$B$15</f>
        <v>0.86264012336053497</v>
      </c>
      <c r="C14" s="4">
        <f>'إدخال بيانات المركز المالي'!C14/'إدخال بيانات المركز المالي'!$C$15</f>
        <v>0.85290286353661537</v>
      </c>
      <c r="D14" s="4">
        <f>'إدخال بيانات المركز المالي'!D14/'إدخال بيانات المركز المالي'!$D$15</f>
        <v>0.828125</v>
      </c>
      <c r="E14" s="4">
        <f>'إدخال بيانات المركز المالي'!E14/'إدخال بيانات المركز المالي'!$E$15</f>
        <v>0.79289940828402372</v>
      </c>
    </row>
    <row r="15" spans="1:13" x14ac:dyDescent="0.3">
      <c r="A15" t="str">
        <f>'إدخال بيانات المركز المالي'!A15</f>
        <v>إجمالي الأصول</v>
      </c>
      <c r="B15" s="4">
        <f>'إدخال بيانات المركز المالي'!B15/'إدخال بيانات المركز المالي'!$B$15</f>
        <v>1</v>
      </c>
      <c r="C15" s="4">
        <f>'إدخال بيانات المركز المالي'!C15/'إدخال بيانات المركز المالي'!$C$15</f>
        <v>1</v>
      </c>
      <c r="D15" s="4">
        <f>'إدخال بيانات المركز المالي'!D15/'إدخال بيانات المركز المالي'!$D$15</f>
        <v>1</v>
      </c>
      <c r="E15" s="4">
        <f>'إدخال بيانات المركز المالي'!E15/'إدخال بيانات المركز المالي'!$E$15</f>
        <v>1</v>
      </c>
    </row>
    <row r="16" spans="1:13" x14ac:dyDescent="0.3">
      <c r="A16" t="str">
        <f>'إدخال بيانات المركز المالي'!A16</f>
        <v>الخصوم المتداولة</v>
      </c>
      <c r="B16" s="4"/>
      <c r="C16" s="4"/>
      <c r="D16" s="4"/>
      <c r="E16" s="4"/>
    </row>
    <row r="17" spans="1:5" x14ac:dyDescent="0.3">
      <c r="A17" t="str">
        <f>'إدخال بيانات المركز المالي'!A17</f>
        <v>دائنون</v>
      </c>
      <c r="B17" s="4">
        <f>'إدخال بيانات المركز المالي'!B17/'إدخال بيانات المركز المالي'!$B$31</f>
        <v>2.902091238283348E-2</v>
      </c>
      <c r="C17" s="4">
        <f>'إدخال بيانات المركز المالي'!C17/'إدخال بيانات المركز المالي'!$C$31</f>
        <v>3.798505783431496E-2</v>
      </c>
      <c r="D17" s="4">
        <f>'إدخال بيانات المركز المالي'!D17/'إدخال بيانات المركز المالي'!$D$31</f>
        <v>4.3117088607594937E-2</v>
      </c>
      <c r="E17" s="4">
        <f>'إدخال بيانات المركز المالي'!E17/'إدخال بيانات المركز المالي'!$E$31</f>
        <v>4.9627791563275438E-2</v>
      </c>
    </row>
    <row r="18" spans="1:5" x14ac:dyDescent="0.3">
      <c r="A18" t="str">
        <f>'إدخال بيانات المركز المالي'!A18</f>
        <v>أوراق دفع</v>
      </c>
      <c r="B18" s="4">
        <f>'إدخال بيانات المركز المالي'!B18/'إدخال بيانات المركز المالي'!$B$31</f>
        <v>4.7646274061368399E-3</v>
      </c>
      <c r="C18" s="4">
        <f>'إدخال بيانات المركز المالي'!C18/'إدخال بيانات المركز المالي'!$C$31</f>
        <v>8.2596856736464209E-3</v>
      </c>
      <c r="D18" s="4">
        <f>'إدخال بيانات المركز المالي'!D18/'إدخال بيانات المركز المالي'!$D$31</f>
        <v>1.1867088607594937E-2</v>
      </c>
      <c r="E18" s="4">
        <f>'إدخال بيانات المركز المالي'!E18/'إدخال بيانات المركز المالي'!$E$31</f>
        <v>1.374308074059935E-2</v>
      </c>
    </row>
    <row r="19" spans="1:5" x14ac:dyDescent="0.3">
      <c r="A19" t="str">
        <f>'إدخال بيانات المركز المالي'!A19</f>
        <v>قرض قصير الأجل</v>
      </c>
      <c r="B19" s="4">
        <f>'إدخال بيانات المركز المالي'!B19/'إدخال بيانات المركز المالي'!$B$31</f>
        <v>8.6629589202488005E-2</v>
      </c>
      <c r="C19" s="4">
        <f>'إدخال بيانات المركز المالي'!C19/'إدخال بيانات المركز المالي'!$C$31</f>
        <v>8.6705023317458052E-2</v>
      </c>
      <c r="D19" s="4">
        <f>'إدخال بيانات المركز المالي'!D19/'إدخال بيانات المركز المالي'!$D$31</f>
        <v>8.3069620253164556E-2</v>
      </c>
      <c r="E19" s="4">
        <f>'إدخال بيانات المركز المالي'!E19/'إدخال بيانات المركز المالي'!$E$31</f>
        <v>8.7803015842718074E-2</v>
      </c>
    </row>
    <row r="20" spans="1:5" x14ac:dyDescent="0.3">
      <c r="A20" t="str">
        <f>'إدخال بيانات المركز المالي'!A20</f>
        <v>مصروفات مستحقة</v>
      </c>
      <c r="B20" s="4">
        <f>'إدخال بيانات المركز المالي'!B20/'إدخال بيانات المركز المالي'!$B$31</f>
        <v>6.7917597934750596E-3</v>
      </c>
      <c r="C20" s="4">
        <f>'إدخال بيانات المركز المالي'!C20/'إدخال بيانات المركز المالي'!$C$31</f>
        <v>8.2576212683293394E-3</v>
      </c>
      <c r="D20" s="4">
        <f>'إدخال بيانات المركز المالي'!D20/'إدخال بيانات المركز المالي'!$D$31</f>
        <v>1.1471518987341773E-2</v>
      </c>
      <c r="E20" s="4">
        <f>'إدخال بيانات المركز المالي'!E20/'إدخال بيانات المركز المالي'!$E$31</f>
        <v>8.9711777056690201E-3</v>
      </c>
    </row>
    <row r="21" spans="1:5" x14ac:dyDescent="0.3">
      <c r="A21" t="str">
        <f>'إدخال بيانات المركز المالي'!A21</f>
        <v>مجموع الخصوم المتداولة</v>
      </c>
      <c r="B21" s="4">
        <f>'إدخال بيانات المركز المالي'!B21/'إدخال بيانات المركز المالي'!$B$31</f>
        <v>0.12720688878493339</v>
      </c>
      <c r="C21" s="4">
        <f>'إدخال بيانات المركز المالي'!C21/'إدخال بيانات المركز المالي'!$C$31</f>
        <v>0.14120738809374878</v>
      </c>
      <c r="D21" s="4">
        <f>'إدخال بيانات المركز المالي'!D21/'إدخال بيانات المركز المالي'!$D$31</f>
        <v>0.14952531645569619</v>
      </c>
      <c r="E21" s="4">
        <f>'إدخال بيانات المركز المالي'!E21/'إدخال بيانات المركز المالي'!$E$31</f>
        <v>0.16014506585226188</v>
      </c>
    </row>
    <row r="22" spans="1:5" x14ac:dyDescent="0.3">
      <c r="A22" t="str">
        <f>'إدخال بيانات المركز المالي'!A22</f>
        <v>خصوم غير متداولة</v>
      </c>
      <c r="B22" s="4">
        <f>'إدخال بيانات المركز المالي'!B22/'إدخال بيانات المركز المالي'!$B$31</f>
        <v>0</v>
      </c>
      <c r="C22" s="4">
        <f>'إدخال بيانات المركز المالي'!C22/'إدخال بيانات المركز المالي'!$C$31</f>
        <v>0</v>
      </c>
      <c r="D22" s="4">
        <f>'إدخال بيانات المركز المالي'!D22/'إدخال بيانات المركز المالي'!$D$31</f>
        <v>0</v>
      </c>
      <c r="E22" s="4">
        <f>'إدخال بيانات المركز المالي'!E22/'إدخال بيانات المركز المالي'!$E$31</f>
        <v>0</v>
      </c>
    </row>
    <row r="23" spans="1:5" x14ac:dyDescent="0.3">
      <c r="A23" t="str">
        <f>'إدخال بيانات المركز المالي'!A23</f>
        <v>قروض طويلة الأجل</v>
      </c>
      <c r="B23" s="4">
        <f>'إدخال بيانات المركز المالي'!B23/'إدخال بيانات المركز المالي'!$B$31</f>
        <v>0.2642202470675884</v>
      </c>
      <c r="C23" s="4">
        <f>'إدخال بيانات المركز المالي'!C23/'إدخال بيانات المركز المالي'!$C$31</f>
        <v>0.27663031248903286</v>
      </c>
      <c r="D23" s="4">
        <f>'إدخال بيانات المركز المالي'!D23/'إدخال بيانات المركز المالي'!$D$31</f>
        <v>0.26503164556962028</v>
      </c>
      <c r="E23" s="4">
        <f>'إدخال بيانات المركز المالي'!E23/'إدخال بيانات المركز المالي'!$E$31</f>
        <v>0.24813895781637718</v>
      </c>
    </row>
    <row r="24" spans="1:5" x14ac:dyDescent="0.3">
      <c r="A24" t="str">
        <f>'إدخال بيانات المركز المالي'!A24</f>
        <v>مجموع الخصوم الغير متداولة</v>
      </c>
      <c r="B24" s="4">
        <f>'إدخال بيانات المركز المالي'!B24/'إدخال بيانات المركز المالي'!$B$31</f>
        <v>0.2642202470675884</v>
      </c>
      <c r="C24" s="4">
        <f>'إدخال بيانات المركز المالي'!C24/'إدخال بيانات المركز المالي'!$C$31</f>
        <v>0.27663031248903286</v>
      </c>
      <c r="D24" s="4">
        <f>'إدخال بيانات المركز المالي'!D24/'إدخال بيانات المركز المالي'!$D$31</f>
        <v>0.26503164556962028</v>
      </c>
      <c r="E24" s="4">
        <f>'إدخال بيانات المركز المالي'!E24/'إدخال بيانات المركز المالي'!$E$31</f>
        <v>0.24813895781637718</v>
      </c>
    </row>
    <row r="25" spans="1:5" x14ac:dyDescent="0.3">
      <c r="A25" t="str">
        <f>'إدخال بيانات المركز المالي'!A25</f>
        <v>إجمالي الخصوم</v>
      </c>
      <c r="B25" s="4">
        <f>'إدخال بيانات المركز المالي'!B25/'إدخال بيانات المركز المالي'!$B$31</f>
        <v>0.39142713585252181</v>
      </c>
      <c r="C25" s="4">
        <f>'إدخال بيانات المركز المالي'!C25/'إدخال بيانات المركز المالي'!$C$31</f>
        <v>0.41783770058278163</v>
      </c>
      <c r="D25" s="4">
        <f>'إدخال بيانات المركز المالي'!D25/'إدخال بيانات المركز المالي'!$D$31</f>
        <v>0.41455696202531644</v>
      </c>
      <c r="E25" s="4">
        <f>'إدخال بيانات المركز المالي'!E25/'إدخال بيانات المركز المالي'!$E$31</f>
        <v>0.40828402366863903</v>
      </c>
    </row>
    <row r="26" spans="1:5" x14ac:dyDescent="0.3">
      <c r="A26" t="str">
        <f>'إدخال بيانات المركز المالي'!A26</f>
        <v>حقوق المساهمين</v>
      </c>
      <c r="B26" s="4">
        <f>'إدخال بيانات المركز المالي'!B26/'إدخال بيانات المركز المالي'!$B$31</f>
        <v>0</v>
      </c>
      <c r="C26" s="4">
        <f>'إدخال بيانات المركز المالي'!C26/'إدخال بيانات المركز المالي'!$C$31</f>
        <v>0</v>
      </c>
      <c r="D26" s="4">
        <f>'إدخال بيانات المركز المالي'!D26/'إدخال بيانات المركز المالي'!$D$31</f>
        <v>0</v>
      </c>
      <c r="E26" s="4">
        <f>'إدخال بيانات المركز المالي'!E26/'إدخال بيانات المركز المالي'!$E$31</f>
        <v>0</v>
      </c>
    </row>
    <row r="27" spans="1:5" x14ac:dyDescent="0.3">
      <c r="A27" t="str">
        <f>'إدخال بيانات المركز المالي'!A27</f>
        <v>رأس مال الأسهم</v>
      </c>
      <c r="B27" s="4">
        <f>'إدخال بيانات المركز المالي'!B27/'إدخال بيانات المركز المالي'!$B$31</f>
        <v>0.43314794601244</v>
      </c>
      <c r="C27" s="4">
        <f>'إدخال بيانات المركز المالي'!C27/'إدخال بيانات المركز المالي'!$C$31</f>
        <v>0.41288106341646691</v>
      </c>
      <c r="D27" s="4">
        <f>'إدخال بيانات المركز المالي'!D27/'إدخال بيانات المركز المالي'!$D$31</f>
        <v>0.39556962025316456</v>
      </c>
      <c r="E27" s="4">
        <f>'إدخال بيانات المركز المالي'!E27/'إدخال بيانات المركز المالي'!$E$31</f>
        <v>0.38175224279442643</v>
      </c>
    </row>
    <row r="28" spans="1:5" x14ac:dyDescent="0.3">
      <c r="A28" t="str">
        <f>'إدخال بيانات المركز المالي'!A28</f>
        <v>احتياطيات</v>
      </c>
      <c r="B28" s="4">
        <f>'إدخال بيانات المركز المالي'!B28/'إدخال بيانات المركز المالي'!$B$31</f>
        <v>5.8474972711679403E-2</v>
      </c>
      <c r="C28" s="4">
        <f>'إدخال بيانات المركز المالي'!C28/'إدخال بيانات المركز المالي'!$C$31</f>
        <v>6.1932159512470039E-2</v>
      </c>
      <c r="D28" s="4">
        <f>'إدخال بيانات المركز المالي'!D28/'إدخال بيانات المركز المالي'!$D$31</f>
        <v>7.9113924050632917E-2</v>
      </c>
      <c r="E28" s="4">
        <f>'إدخال بيانات المركز المالي'!E28/'إدخال بيانات المركز المالي'!$E$31</f>
        <v>9.5438060698606608E-2</v>
      </c>
    </row>
    <row r="29" spans="1:5" x14ac:dyDescent="0.3">
      <c r="A29" t="str">
        <f>'إدخال بيانات المركز المالي'!A29</f>
        <v>أرباح محتجزة</v>
      </c>
      <c r="B29" s="4">
        <f>'إدخال بيانات المركز المالي'!B29/'إدخال بيانات المركز المالي'!$B$31</f>
        <v>0.11694994542335881</v>
      </c>
      <c r="C29" s="4">
        <f>'إدخال بيانات المركز المالي'!C29/'إدخال بيانات المركز المالي'!$C$31</f>
        <v>0.1073490764882814</v>
      </c>
      <c r="D29" s="4">
        <f>'إدخال بيانات المركز المالي'!D29/'إدخال بيانات المركز المالي'!$D$31</f>
        <v>0.11075949367088607</v>
      </c>
      <c r="E29" s="4">
        <f>'إدخال بيانات المركز المالي'!E29/'إدخال بيانات المركز المالي'!$E$31</f>
        <v>0.11452567283832793</v>
      </c>
    </row>
    <row r="30" spans="1:5" x14ac:dyDescent="0.3">
      <c r="A30" t="str">
        <f>'إدخال بيانات المركز المالي'!A30</f>
        <v>مجموع حقوق المساهمين</v>
      </c>
      <c r="B30" s="4">
        <f>'إدخال بيانات المركز المالي'!B30/'إدخال بيانات المركز المالي'!$B$31</f>
        <v>0.60857286414747824</v>
      </c>
      <c r="C30" s="4">
        <f>'إدخال بيانات المركز المالي'!C30/'إدخال بيانات المركز المالي'!$C$31</f>
        <v>0.58216229941721842</v>
      </c>
      <c r="D30" s="4">
        <f>'إدخال بيانات المركز المالي'!D30/'إدخال بيانات المركز المالي'!$D$31</f>
        <v>0.58544303797468356</v>
      </c>
      <c r="E30" s="4">
        <f>'إدخال بيانات المركز المالي'!E30/'إدخال بيانات المركز المالي'!$E$31</f>
        <v>0.59171597633136097</v>
      </c>
    </row>
    <row r="31" spans="1:5" x14ac:dyDescent="0.3">
      <c r="A31" t="str">
        <f>'إدخال بيانات المركز المالي'!A31</f>
        <v>إجمالي الخصوم وحقوق المساهمين</v>
      </c>
      <c r="B31" s="4">
        <f>'إدخال بيانات المركز المالي'!B31/'إدخال بيانات المركز المالي'!$B$31</f>
        <v>1</v>
      </c>
      <c r="C31" s="4">
        <f>'إدخال بيانات المركز المالي'!C31/'إدخال بيانات المركز المالي'!$C$31</f>
        <v>1</v>
      </c>
      <c r="D31" s="4">
        <f>'إدخال بيانات المركز المالي'!D31/'إدخال بيانات المركز المالي'!$D$31</f>
        <v>1</v>
      </c>
      <c r="E31" s="4">
        <f>'إدخال بيانات المركز المالي'!E31/'إدخال بيانات المركز المالي'!$E$31</f>
        <v>1</v>
      </c>
    </row>
  </sheetData>
  <mergeCells count="2">
    <mergeCell ref="A1:F2"/>
    <mergeCell ref="I10:L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F773-3B6D-4F77-B857-27A777323EF0}">
  <dimension ref="A1:O33"/>
  <sheetViews>
    <sheetView tabSelected="1" topLeftCell="A6" zoomScale="72" workbookViewId="0">
      <selection activeCell="F20" sqref="F20"/>
    </sheetView>
  </sheetViews>
  <sheetFormatPr defaultRowHeight="14" x14ac:dyDescent="0.3"/>
  <cols>
    <col min="1" max="1" width="17.4140625" customWidth="1"/>
  </cols>
  <sheetData>
    <row r="1" spans="1:15" x14ac:dyDescent="0.3">
      <c r="A1" s="5" t="s">
        <v>48</v>
      </c>
      <c r="B1" s="5"/>
      <c r="C1" s="5"/>
      <c r="D1" s="5"/>
      <c r="E1" s="5"/>
    </row>
    <row r="2" spans="1:15" x14ac:dyDescent="0.3">
      <c r="A2" s="5"/>
      <c r="B2" s="5"/>
      <c r="C2" s="5"/>
      <c r="D2" s="5"/>
      <c r="E2" s="5"/>
    </row>
    <row r="3" spans="1:15" x14ac:dyDescent="0.3">
      <c r="A3" t="str">
        <f>'إدخال بيانات المركز المالي'!A3</f>
        <v>السنوات</v>
      </c>
      <c r="B3">
        <f>'إدخال بيانات المركز المالي'!B3</f>
        <v>1421</v>
      </c>
      <c r="C3">
        <f>'إدخال بيانات المركز المالي'!C3</f>
        <v>1422</v>
      </c>
      <c r="D3">
        <f>'إدخال بيانات المركز المالي'!D3</f>
        <v>1423</v>
      </c>
      <c r="E3">
        <f>'إدخال بيانات المركز المالي'!E3</f>
        <v>1424</v>
      </c>
    </row>
    <row r="4" spans="1:15" x14ac:dyDescent="0.3">
      <c r="A4" t="str">
        <f>'إدخال بيانات المركز المالي'!A4</f>
        <v>الأصول المتداولة</v>
      </c>
    </row>
    <row r="5" spans="1:15" x14ac:dyDescent="0.3">
      <c r="A5" t="str">
        <f>'إدخال بيانات المركز المالي'!A5</f>
        <v>نقدية</v>
      </c>
      <c r="B5" s="4">
        <f>'إدخال بيانات المركز المالي'!B5/'إدخال بيانات المركز المالي'!$B$5</f>
        <v>1</v>
      </c>
      <c r="C5" s="4">
        <f>'إدخال بيانات المركز المالي'!C5/'إدخال بيانات المركز المالي'!$B$5</f>
        <v>1.3333333333333333</v>
      </c>
      <c r="D5" s="4">
        <f>'إدخال بيانات المركز المالي'!D5/'إدخال بيانات المركز المالي'!$B$5</f>
        <v>1.6666666666666667</v>
      </c>
      <c r="E5" s="4">
        <f>'إدخال بيانات المركز المالي'!E5/'إدخال بيانات المركز المالي'!$B$5</f>
        <v>2.3333333333333335</v>
      </c>
      <c r="F5" s="4"/>
      <c r="G5" s="4"/>
    </row>
    <row r="6" spans="1:15" x14ac:dyDescent="0.3">
      <c r="A6" t="str">
        <f>'إدخال بيانات المركز المالي'!A6</f>
        <v>استثمارات قصيرة الاجل</v>
      </c>
      <c r="B6" s="4">
        <f>'إدخال بيانات المركز المالي'!B6/'إدخال بيانات المركز المالي'!$B$6</f>
        <v>1</v>
      </c>
      <c r="C6" s="4">
        <f>'إدخال بيانات المركز المالي'!C6/'إدخال بيانات المركز المالي'!$B$6</f>
        <v>1.1666666666666667</v>
      </c>
      <c r="D6" s="4">
        <f>'إدخال بيانات المركز المالي'!D6/'إدخال بيانات المركز المالي'!$B$6</f>
        <v>1.5833333333333333</v>
      </c>
      <c r="E6" s="4">
        <f>'إدخال بيانات المركز المالي'!E6/'إدخال بيانات المركز المالي'!$B$6</f>
        <v>2</v>
      </c>
      <c r="F6" s="4"/>
      <c r="G6" s="4"/>
    </row>
    <row r="7" spans="1:15" x14ac:dyDescent="0.3">
      <c r="A7" t="str">
        <f>'إدخال بيانات المركز المالي'!A7</f>
        <v>مدينون</v>
      </c>
      <c r="B7" s="4">
        <f>'إدخال بيانات المركز المالي'!B7/'إدخال بيانات المركز المالي'!$B$7</f>
        <v>1</v>
      </c>
      <c r="C7" s="4">
        <f>'إدخال بيانات المركز المالي'!C7/'إدخال بيانات المركز المالي'!$B$7</f>
        <v>0.91836734693877553</v>
      </c>
      <c r="D7" s="4">
        <f>'إدخال بيانات المركز المالي'!D7/'إدخال بيانات المركز المالي'!$B$7</f>
        <v>1.0612244897959184</v>
      </c>
      <c r="E7" s="4">
        <f>'إدخال بيانات المركز المالي'!E7/'إدخال بيانات المركز المالي'!$B$7</f>
        <v>1.3877551020408163</v>
      </c>
      <c r="F7" s="4"/>
      <c r="G7" s="4"/>
    </row>
    <row r="8" spans="1:15" x14ac:dyDescent="0.3">
      <c r="A8" t="str">
        <f>'إدخال بيانات المركز المالي'!A8</f>
        <v>أوراق القبض</v>
      </c>
      <c r="B8" s="4">
        <f>'إدخال بيانات المركز المالي'!B8/'إدخال بيانات المركز المالي'!$B$8</f>
        <v>1</v>
      </c>
      <c r="C8" s="4">
        <f>'إدخال بيانات المركز المالي'!C8/'إدخال بيانات المركز المالي'!$B$8</f>
        <v>1.1142857142857143</v>
      </c>
      <c r="D8" s="4">
        <f>'إدخال بيانات المركز المالي'!D8/'إدخال بيانات المركز المالي'!$B$8</f>
        <v>1.1857142857142857</v>
      </c>
      <c r="E8" s="4">
        <f>'إدخال بيانات المركز المالي'!E8/'إدخال بيانات المركز المالي'!$B$8</f>
        <v>1.4285714285714286</v>
      </c>
      <c r="F8" s="4"/>
      <c r="G8" s="4"/>
    </row>
    <row r="9" spans="1:15" x14ac:dyDescent="0.3">
      <c r="A9" t="str">
        <f>'إدخال بيانات المركز المالي'!A9</f>
        <v>مخزون سلعي</v>
      </c>
      <c r="B9" s="4">
        <f>'إدخال بيانات المركز المالي'!B9/'إدخال بيانات المركز المالي'!$B$9</f>
        <v>1</v>
      </c>
      <c r="C9" s="4">
        <f>'إدخال بيانات المركز المالي'!C9/'إدخال بيانات المركز المالي'!$B$9</f>
        <v>1.1097560975609757</v>
      </c>
      <c r="D9" s="4">
        <f>'إدخال بيانات المركز المالي'!D9/'إدخال بيانات المركز المالي'!$B$9</f>
        <v>1.2195121951219512</v>
      </c>
      <c r="E9" s="4">
        <f>'إدخال بيانات المركز المالي'!E9/'إدخال بيانات المركز المالي'!$B$9</f>
        <v>1.3780487804878048</v>
      </c>
      <c r="F9" s="4"/>
      <c r="G9" s="4"/>
    </row>
    <row r="10" spans="1:15" x14ac:dyDescent="0.3">
      <c r="A10" t="str">
        <f>'إدخال بيانات المركز المالي'!A10</f>
        <v>مصروفات مقدمة</v>
      </c>
      <c r="B10" s="4">
        <f>'إدخال بيانات المركز المالي'!B10/'إدخال بيانات المركز المالي'!$B$10</f>
        <v>1</v>
      </c>
      <c r="C10" s="4">
        <f>'إدخال بيانات المركز المالي'!C10/'إدخال بيانات المركز المالي'!$B$10</f>
        <v>1.1339285714285714</v>
      </c>
      <c r="D10" s="4">
        <f>'إدخال بيانات المركز المالي'!D10/'إدخال بيانات المركز المالي'!$B$10</f>
        <v>0.8928571428571429</v>
      </c>
      <c r="E10" s="4">
        <f>'إدخال بيانات المركز المالي'!E10/'إدخال بيانات المركز المالي'!$B$10</f>
        <v>1.3392857142857142</v>
      </c>
      <c r="F10" s="4"/>
      <c r="G10" s="4"/>
    </row>
    <row r="11" spans="1:15" x14ac:dyDescent="0.3">
      <c r="A11" t="str">
        <f>'إدخال بيانات المركز المالي'!A11</f>
        <v>مجموع الأصول المتداولة</v>
      </c>
      <c r="B11" s="4">
        <f>'إدخال بيانات المركز المالي'!B11/'إدخال بيانات المركز المالي'!$B$11</f>
        <v>1</v>
      </c>
      <c r="C11" s="4">
        <f>'إدخال بيانات المركز المالي'!C11/'إدخال بيانات المركز المالي'!$B$11</f>
        <v>1.1234548435923311</v>
      </c>
      <c r="D11" s="4">
        <f>'إدخال بيانات المركز المالي'!D11/'إدخال بيانات المركز المالي'!$B$11</f>
        <v>1.370143794147326</v>
      </c>
      <c r="E11" s="4">
        <f>'إدخال بيانات المركز المالي'!E11/'إدخال بيانات المركز المالي'!$B$11</f>
        <v>1.7107088799192736</v>
      </c>
      <c r="F11" s="4"/>
      <c r="G11" s="4"/>
      <c r="L11" s="7" t="s">
        <v>74</v>
      </c>
      <c r="M11" s="7"/>
      <c r="N11" s="7"/>
      <c r="O11" s="7"/>
    </row>
    <row r="12" spans="1:15" x14ac:dyDescent="0.3">
      <c r="A12" t="str">
        <f>'إدخال بيانات المركز المالي'!A12</f>
        <v>الأصول الثابتة</v>
      </c>
      <c r="B12" s="4">
        <f>'إدخال بيانات المركز المالي'!B12/'إدخال بيانات المركز المالي'!$B$12</f>
        <v>1</v>
      </c>
      <c r="C12" s="4">
        <f>'إدخال بيانات المركز المالي'!C12/'إدخال بيانات المركز المالي'!$B$12</f>
        <v>1.0397302504816957</v>
      </c>
      <c r="D12" s="4">
        <f>'إدخال بيانات المركز المالي'!D12/'إدخال بيانات المركز المالي'!$B$12</f>
        <v>1.0710500963391136</v>
      </c>
      <c r="E12" s="4">
        <f>'إدخال بيانات المركز المالي'!E12/'إدخال بيانات المركز المالي'!$B$12</f>
        <v>1.0785163776493256</v>
      </c>
      <c r="F12" s="4"/>
      <c r="G12" s="4"/>
      <c r="L12" s="7"/>
      <c r="M12" s="7"/>
      <c r="N12" s="7"/>
      <c r="O12" s="7"/>
    </row>
    <row r="13" spans="1:15" x14ac:dyDescent="0.3">
      <c r="A13" t="str">
        <f>'إدخال بيانات المركز المالي'!A13</f>
        <v>مجمع الاستهلاك</v>
      </c>
      <c r="B13" s="4">
        <f>'إدخال بيانات المركز المالي'!B13/'إدخال بيانات المركز المالي'!$B$13</f>
        <v>1</v>
      </c>
      <c r="C13" s="4">
        <f>'إدخال بيانات المركز المالي'!C13/'إدخال بيانات المركز المالي'!$B$13</f>
        <v>1.098353860729512</v>
      </c>
      <c r="D13" s="4">
        <f>'إدخال بيانات المركز المالي'!D13/'إدخال بيانات المركز المالي'!$B$13</f>
        <v>1.5395547134059688</v>
      </c>
      <c r="E13" s="4">
        <f>'إدخال بيانات المركز المالي'!E13/'إدخال بيانات المركز المالي'!$B$13</f>
        <v>1.9185220274751302</v>
      </c>
      <c r="F13" s="4"/>
      <c r="G13" s="4"/>
    </row>
    <row r="14" spans="1:15" x14ac:dyDescent="0.3">
      <c r="A14" t="str">
        <f>'إدخال بيانات المركز المالي'!A14</f>
        <v>صافي الأصول الثابتة</v>
      </c>
      <c r="B14" s="4">
        <f>'إدخال بيانات المركز المالي'!B14/'إدخال بيانات المركز المالي'!$B$14</f>
        <v>1</v>
      </c>
      <c r="C14" s="4">
        <f>'إدخال بيانات المركز المالي'!C14/'إدخال بيانات المركز المالي'!$B$14</f>
        <v>1.037244672518026</v>
      </c>
      <c r="D14" s="4">
        <f>'إدخال بيانات المركز المالي'!D14/'إدخال بيانات المركز المالي'!$B$14</f>
        <v>1.0511860049408503</v>
      </c>
      <c r="E14" s="4">
        <f>'إدخال بيانات المركز المالي'!E14/'إدخال بيانات المركز المالي'!$B$14</f>
        <v>1.0429010423989236</v>
      </c>
      <c r="F14" s="4"/>
      <c r="G14" s="4"/>
    </row>
    <row r="15" spans="1:15" x14ac:dyDescent="0.3">
      <c r="A15" t="str">
        <f>'إدخال بيانات المركز المالي'!A15</f>
        <v>إجمالي الأصول</v>
      </c>
      <c r="B15" s="4">
        <f>'إدخال بيانات المركز المالي'!B15/'إدخال بيانات المركز المالي'!$B$15</f>
        <v>1</v>
      </c>
      <c r="C15" s="4">
        <f>'إدخال بيانات المركز المالي'!C15/'إدخال بيانات المركز المالي'!$B$15</f>
        <v>1.0490864909818598</v>
      </c>
      <c r="D15" s="4">
        <f>'إدخال بيانات المركز المالي'!D15/'إدخال بيانات المركز المالي'!$B$15</f>
        <v>1.0949980075194483</v>
      </c>
      <c r="E15" s="4">
        <f>'إدخال بيانات المركز المالي'!E15/'إدخال بيانات المركز المالي'!$B$15</f>
        <v>1.1346310445795866</v>
      </c>
      <c r="F15" s="4"/>
      <c r="G15" s="4"/>
    </row>
    <row r="16" spans="1:15" x14ac:dyDescent="0.3">
      <c r="A16" t="str">
        <f>'إدخال بيانات المركز المالي'!A16</f>
        <v>الخصوم المتداولة</v>
      </c>
      <c r="B16" s="4"/>
      <c r="C16" s="4"/>
      <c r="D16" s="4"/>
      <c r="E16" s="4"/>
      <c r="F16" s="4"/>
      <c r="G16" s="4"/>
    </row>
    <row r="17" spans="1:7" x14ac:dyDescent="0.3">
      <c r="A17" t="str">
        <f>'إدخال بيانات المركز المالي'!A17</f>
        <v>دائنون</v>
      </c>
      <c r="B17" s="4">
        <f>'إدخال بيانات المركز المالي'!B17/'إدخال بيانات المركز المالي'!$B$17</f>
        <v>1</v>
      </c>
      <c r="C17" s="4">
        <f>'إدخال بيانات المركز المالي'!C17/'إدخال بيانات المركز المالي'!$B$17</f>
        <v>1.3731343283582089</v>
      </c>
      <c r="D17" s="4">
        <f>'إدخال بيانات المركز المالي'!D17/'إدخال بيانات المركز المالي'!$B$17</f>
        <v>1.6268656716417911</v>
      </c>
      <c r="E17" s="4">
        <f>'إدخال بيانات المركز المالي'!E17/'إدخال بيانات المركز المالي'!$B$17</f>
        <v>1.9402985074626866</v>
      </c>
      <c r="F17" s="4"/>
      <c r="G17" s="4"/>
    </row>
    <row r="18" spans="1:7" x14ac:dyDescent="0.3">
      <c r="A18" t="str">
        <f>'إدخال بيانات المركز المالي'!A18</f>
        <v>أوراق دفع</v>
      </c>
      <c r="B18" s="4">
        <f>'إدخال بيانات المركز المالي'!B18/'إدخال بيانات المركز المالي'!$B$18</f>
        <v>1</v>
      </c>
      <c r="C18" s="4">
        <f>'إدخال بيانات المركز المالي'!C18/'إدخال بيانات المركز المالي'!$B$18</f>
        <v>1.8186363636363636</v>
      </c>
      <c r="D18" s="4">
        <f>'إدخال بيانات المركز المالي'!D18/'إدخال بيانات المركز المالي'!$B$18</f>
        <v>2.7272727272727271</v>
      </c>
      <c r="E18" s="4">
        <f>'إدخال بيانات المركز المالي'!E18/'إدخال بيانات المركز المالي'!$B$18</f>
        <v>3.2727272727272729</v>
      </c>
      <c r="F18" s="4"/>
      <c r="G18" s="4"/>
    </row>
    <row r="19" spans="1:7" x14ac:dyDescent="0.3">
      <c r="A19" t="str">
        <f>'إدخال بيانات المركز المالي'!A19</f>
        <v>قرض قصير الأجل</v>
      </c>
      <c r="B19" s="4">
        <f>'إدخال بيانات المركز المالي'!B19/'إدخال بيانات المركز المالي'!$B$19</f>
        <v>1</v>
      </c>
      <c r="C19" s="4">
        <f>'إدخال بيانات المركز المالي'!C19/'إدخال بيانات المركز المالي'!$B$19</f>
        <v>1.05</v>
      </c>
      <c r="D19" s="4">
        <f>'إدخال بيانات المركز المالي'!D19/'إدخال بيانات المركز المالي'!$B$19</f>
        <v>1.05</v>
      </c>
      <c r="E19" s="4">
        <f>'إدخال بيانات المركز المالي'!E19/'إدخال بيانات المركز المالي'!$B$19</f>
        <v>1.1499999999999999</v>
      </c>
      <c r="F19" s="4"/>
      <c r="G19" s="4"/>
    </row>
    <row r="20" spans="1:7" x14ac:dyDescent="0.3">
      <c r="A20" t="str">
        <f>'إدخال بيانات المركز المالي'!A20</f>
        <v>مصروفات مستحقة</v>
      </c>
      <c r="B20" s="4">
        <f>'إدخال بيانات المركز المالي'!B20/'إدخال بيانات المركز المالي'!$B$20</f>
        <v>1</v>
      </c>
      <c r="C20" s="4">
        <f>'إدخال بيانات المركز المالي'!C20/'إدخال بيانات المركز المالي'!$B$20</f>
        <v>1.2755102040816326</v>
      </c>
      <c r="D20" s="4">
        <f>'إدخال بيانات المركز المالي'!D20/'إدخال بيانات المركز المالي'!$B$20</f>
        <v>1.8494897959183674</v>
      </c>
      <c r="E20" s="4">
        <f>'إدخال بيانات المركز المالي'!E20/'إدخال بيانات المركز المالي'!$B$20</f>
        <v>1.4987244897959184</v>
      </c>
      <c r="F20" s="4"/>
      <c r="G20" s="4"/>
    </row>
    <row r="21" spans="1:7" x14ac:dyDescent="0.3">
      <c r="A21" t="str">
        <f>'إدخال بيانات المركز المالي'!A21</f>
        <v>مجموع الخصوم المتداولة</v>
      </c>
      <c r="B21" s="4">
        <f>'إدخال بيانات المركز المالي'!B21/'إدخال بيانات المركز المالي'!$B$21</f>
        <v>1</v>
      </c>
      <c r="C21" s="4">
        <f>'إدخال بيانات المركز المالي'!C21/'إدخال بيانات المركز المالي'!$B$21</f>
        <v>1.1645498501770635</v>
      </c>
      <c r="D21" s="4">
        <f>'إدخال بيانات المركز المالي'!D21/'إدخال بيانات المركز المالي'!$B$21</f>
        <v>1.2871152274584581</v>
      </c>
      <c r="E21" s="4">
        <f>'إدخال بيانات المركز المالي'!E21/'إدخال بيانات المركز المالي'!$B$21</f>
        <v>1.4284254971397439</v>
      </c>
      <c r="F21" s="4"/>
      <c r="G21" s="4"/>
    </row>
    <row r="22" spans="1:7" x14ac:dyDescent="0.3">
      <c r="A22" t="str">
        <f>'إدخال بيانات المركز المالي'!A22</f>
        <v>خصوم غير متداولة</v>
      </c>
      <c r="B22" s="4"/>
      <c r="C22" s="4"/>
      <c r="D22" s="4"/>
      <c r="E22" s="4"/>
      <c r="F22" s="4"/>
      <c r="G22" s="4"/>
    </row>
    <row r="23" spans="1:7" x14ac:dyDescent="0.3">
      <c r="A23" t="str">
        <f>'إدخال بيانات المركز المالي'!A23</f>
        <v>قروض طويلة الأجل</v>
      </c>
      <c r="B23" s="4">
        <f>'إدخال بيانات المركز المالي'!B23/'إدخال بيانات المركز المالي'!$B$23</f>
        <v>1</v>
      </c>
      <c r="C23" s="4">
        <f>'إدخال بيانات المركز المالي'!C23/'إدخال بيانات المركز المالي'!$B$23</f>
        <v>1.098360655737705</v>
      </c>
      <c r="D23" s="4">
        <f>'إدخال بيانات المركز المالي'!D23/'إدخال بيانات المركز المالي'!$B$23</f>
        <v>1.098360655737705</v>
      </c>
      <c r="E23" s="4">
        <f>'إدخال بيانات المركز المالي'!E23/'إدخال بيانات المركز المالي'!$B$23</f>
        <v>1.0655737704918034</v>
      </c>
      <c r="F23" s="4"/>
      <c r="G23" s="4"/>
    </row>
    <row r="24" spans="1:7" x14ac:dyDescent="0.3">
      <c r="A24" t="str">
        <f>'إدخال بيانات المركز المالي'!A24</f>
        <v>مجموع الخصوم الغير متداولة</v>
      </c>
      <c r="B24" s="4">
        <f>'إدخال بيانات المركز المالي'!B24/'إدخال بيانات المركز المالي'!$B$24</f>
        <v>1</v>
      </c>
      <c r="C24" s="4">
        <f>'إدخال بيانات المركز المالي'!C24/'إدخال بيانات المركز المالي'!$B$24</f>
        <v>1.098360655737705</v>
      </c>
      <c r="D24" s="4">
        <f>'إدخال بيانات المركز المالي'!D24/'إدخال بيانات المركز المالي'!$B$24</f>
        <v>1.098360655737705</v>
      </c>
      <c r="E24" s="4">
        <f>'إدخال بيانات المركز المالي'!E24/'إدخال بيانات المركز المالي'!$B$24</f>
        <v>1.0655737704918034</v>
      </c>
      <c r="F24" s="4"/>
      <c r="G24" s="4"/>
    </row>
    <row r="25" spans="1:7" x14ac:dyDescent="0.3">
      <c r="A25" t="str">
        <f>'إدخال بيانات المركز المالي'!A25</f>
        <v>إجمالي الخصوم</v>
      </c>
      <c r="B25" s="4">
        <f>'إدخال بيانات المركز المالي'!B25/'إدخال بيانات المركز المالي'!$B$25</f>
        <v>1</v>
      </c>
      <c r="C25" s="4">
        <f>'إدخال بيانات المركز المالي'!C25/'إدخال بيانات المركز المالي'!$B$25</f>
        <v>1.1198709720254958</v>
      </c>
      <c r="D25" s="4">
        <f>'إدخال بيانات المركز المالي'!D25/'إدخال بيانات المركز المالي'!$B$25</f>
        <v>1.1597025495750708</v>
      </c>
      <c r="E25" s="4">
        <f>'إدخال بيانات المركز المالي'!E25/'إدخال بيانات المركز المالي'!$B$25</f>
        <v>1.183494157223796</v>
      </c>
      <c r="F25" s="4"/>
      <c r="G25" s="4"/>
    </row>
    <row r="26" spans="1:7" x14ac:dyDescent="0.3">
      <c r="A26" t="str">
        <f>'إدخال بيانات المركز المالي'!A26</f>
        <v>حقوق المساهمين</v>
      </c>
      <c r="B26" s="4"/>
      <c r="C26" s="4"/>
      <c r="D26" s="4"/>
      <c r="E26" s="4"/>
      <c r="F26" s="4"/>
      <c r="G26" s="4"/>
    </row>
    <row r="27" spans="1:7" x14ac:dyDescent="0.3">
      <c r="A27" t="str">
        <f>'إدخال بيانات المركز المالي'!A27</f>
        <v>رأس مال الأسهم</v>
      </c>
      <c r="B27" s="4">
        <f>'إدخال بيانات المركز المالي'!B27/'إدخال بيانات المركز المالي'!$B$27</f>
        <v>1</v>
      </c>
      <c r="C27" s="4">
        <f>'إدخال بيانات المركز المالي'!C27/'إدخال بيانات المركز المالي'!$B$27</f>
        <v>1</v>
      </c>
      <c r="D27" s="4">
        <f>'إدخال بيانات المركز المالي'!D27/'إدخال بيانات المركز المالي'!$B$27</f>
        <v>1</v>
      </c>
      <c r="E27" s="4">
        <f>'إدخال بيانات المركز المالي'!E27/'إدخال بيانات المركز المالي'!$B$27</f>
        <v>1</v>
      </c>
      <c r="F27" s="4"/>
      <c r="G27" s="4"/>
    </row>
    <row r="28" spans="1:7" x14ac:dyDescent="0.3">
      <c r="A28" t="str">
        <f>'إدخال بيانات المركز المالي'!A28</f>
        <v>احتياطيات</v>
      </c>
      <c r="B28" s="4">
        <f>'إدخال بيانات المركز المالي'!B28/'إدخال بيانات المركز المالي'!$B$28</f>
        <v>1</v>
      </c>
      <c r="C28" s="4">
        <f>'إدخال بيانات المركز المالي'!C28/'إدخال بيانات المركز المالي'!$B$28</f>
        <v>1.1111111111111112</v>
      </c>
      <c r="D28" s="4">
        <f>'إدخال بيانات المركز المالي'!D28/'إدخال بيانات المركز المالي'!$B$28</f>
        <v>1.4814814814814814</v>
      </c>
      <c r="E28" s="4">
        <f>'إدخال بيانات المركز المالي'!E28/'إدخال بيانات المركز المالي'!$B$28</f>
        <v>1.8518518518518519</v>
      </c>
      <c r="F28" s="4"/>
      <c r="G28" s="4"/>
    </row>
    <row r="29" spans="1:7" x14ac:dyDescent="0.3">
      <c r="A29" t="str">
        <f>'إدخال بيانات المركز المالي'!A29</f>
        <v>أرباح محتجزة</v>
      </c>
      <c r="B29" s="4">
        <f>'إدخال بيانات المركز المالي'!B29/'إدخال بيانات المركز المالي'!$B$29</f>
        <v>1</v>
      </c>
      <c r="C29" s="4">
        <f>'إدخال بيانات المركز المالي'!C29/'إدخال بيانات المركز المالي'!$B$29</f>
        <v>0.96296296296296291</v>
      </c>
      <c r="D29" s="4">
        <f>'إدخال بيانات المركز المالي'!D29/'إدخال بيانات المركز المالي'!$B$29</f>
        <v>1.037037037037037</v>
      </c>
      <c r="E29" s="4">
        <f>'إدخال بيانات المركز المالي'!E29/'إدخال بيانات المركز المالي'!$B$29</f>
        <v>1.1111111111111112</v>
      </c>
      <c r="F29" s="4"/>
      <c r="G29" s="4"/>
    </row>
    <row r="30" spans="1:7" x14ac:dyDescent="0.3">
      <c r="A30" t="str">
        <f>'إدخال بيانات المركز المالي'!A30</f>
        <v>مجموع حقوق المساهمين</v>
      </c>
      <c r="B30" s="4">
        <f>'إدخال بيانات المركز المالي'!B30/'إدخال بيانات المركز المالي'!$B$30</f>
        <v>1</v>
      </c>
      <c r="C30" s="4">
        <f>'إدخال بيانات المركز المالي'!C30/'إدخال بيانات المركز المالي'!$B$30</f>
        <v>1.0035587188612101</v>
      </c>
      <c r="D30" s="4">
        <f>'إدخال بيانات المركز المالي'!D30/'إدخال بيانات المركز المالي'!$B$30</f>
        <v>1.0533807829181494</v>
      </c>
      <c r="E30" s="4">
        <f>'إدخال بيانات المركز المالي'!E30/'إدخال بيانات المركز المالي'!$B$30</f>
        <v>1.103202846975089</v>
      </c>
      <c r="F30" s="4"/>
      <c r="G30" s="4"/>
    </row>
    <row r="31" spans="1:7" x14ac:dyDescent="0.3">
      <c r="A31" t="str">
        <f>'إدخال بيانات المركز المالي'!A31</f>
        <v>إجمالي الخصوم وحقوق المساهمين</v>
      </c>
      <c r="B31" s="4">
        <f>'إدخال بيانات المركز المالي'!B31/'إدخال بيانات المركز المالي'!$B$31</f>
        <v>1</v>
      </c>
      <c r="C31" s="4">
        <f>'إدخال بيانات المركز المالي'!C31/'إدخال بيانات المركز المالي'!$B$31</f>
        <v>1.0490864909818598</v>
      </c>
      <c r="D31" s="4">
        <f>'إدخال بيانات المركز المالي'!D31/'إدخال بيانات المركز المالي'!$B$31</f>
        <v>1.0949980075194483</v>
      </c>
      <c r="E31" s="4">
        <f>'إدخال بيانات المركز المالي'!E31/'إدخال بيانات المركز المالي'!$B$31</f>
        <v>1.1346310445795866</v>
      </c>
      <c r="F31" s="4"/>
      <c r="G31" s="4"/>
    </row>
    <row r="32" spans="1:7" x14ac:dyDescent="0.3">
      <c r="B32" s="4"/>
      <c r="C32" s="4"/>
    </row>
    <row r="33" spans="2:3" x14ac:dyDescent="0.3">
      <c r="B33" s="4"/>
      <c r="C33" s="4"/>
    </row>
  </sheetData>
  <mergeCells count="2">
    <mergeCell ref="A1:E2"/>
    <mergeCell ref="L11:O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464E-6291-408F-950B-E68DB8964D2C}">
  <dimension ref="A1:K23"/>
  <sheetViews>
    <sheetView topLeftCell="A3" workbookViewId="0">
      <selection activeCell="B23" sqref="B23:E23"/>
    </sheetView>
  </sheetViews>
  <sheetFormatPr defaultRowHeight="14" x14ac:dyDescent="0.3"/>
  <cols>
    <col min="1" max="1" width="37.4140625" customWidth="1"/>
    <col min="2" max="2" width="10.83203125" bestFit="1" customWidth="1"/>
  </cols>
  <sheetData>
    <row r="1" spans="1:11" x14ac:dyDescent="0.3">
      <c r="A1" s="5" t="s">
        <v>49</v>
      </c>
      <c r="B1" s="5"/>
      <c r="C1" s="5"/>
      <c r="D1" s="5"/>
      <c r="E1" s="5"/>
    </row>
    <row r="2" spans="1:11" x14ac:dyDescent="0.3">
      <c r="A2" s="5"/>
      <c r="B2" s="5"/>
      <c r="C2" s="5"/>
      <c r="D2" s="5"/>
      <c r="E2" s="5"/>
    </row>
    <row r="3" spans="1:11" x14ac:dyDescent="0.3">
      <c r="A3" t="str">
        <f>'إدخال بيانات قائمة الدخل'!A3</f>
        <v>السنوات</v>
      </c>
      <c r="B3">
        <f>'إدخال بيانات قائمة الدخل'!B3</f>
        <v>1421</v>
      </c>
      <c r="C3">
        <f>'إدخال بيانات قائمة الدخل'!C3</f>
        <v>1422</v>
      </c>
      <c r="D3">
        <f>'إدخال بيانات قائمة الدخل'!D3</f>
        <v>1423</v>
      </c>
      <c r="E3">
        <f>'إدخال بيانات قائمة الدخل'!E3</f>
        <v>1424</v>
      </c>
    </row>
    <row r="4" spans="1:11" x14ac:dyDescent="0.3">
      <c r="A4" s="1" t="s">
        <v>50</v>
      </c>
    </row>
    <row r="5" spans="1:11" x14ac:dyDescent="0.3">
      <c r="A5" t="s">
        <v>51</v>
      </c>
      <c r="B5" s="4">
        <f>'إدخال بيانات قائمة الدخل'!B17/'إدخال بيانات المركز المالي'!B30</f>
        <v>2.9412811387900355E-2</v>
      </c>
      <c r="C5" s="4">
        <f>'إدخال بيانات قائمة الدخل'!C17/'إدخال بيانات المركز المالي'!C30</f>
        <v>4.0826418439716315E-2</v>
      </c>
      <c r="D5" s="4">
        <f>'إدخال بيانات قائمة الدخل'!D17/'إدخال بيانات المركز المالي'!D30</f>
        <v>4.9297297297297295E-2</v>
      </c>
      <c r="E5" s="4">
        <f>'إدخال بيانات قائمة الدخل'!E17/'إدخال بيانات المركز المالي'!E30</f>
        <v>5.3011225806451616E-2</v>
      </c>
    </row>
    <row r="6" spans="1:11" x14ac:dyDescent="0.3">
      <c r="A6" t="s">
        <v>52</v>
      </c>
      <c r="B6" s="4">
        <f>'إدخال بيانات قائمة الدخل'!B17/'إدخال بيانات المركز المالي'!B15</f>
        <v>1.7899838868964082E-2</v>
      </c>
      <c r="C6" s="4">
        <f>'إدخال بيانات قائمة الدخل'!C17/'إدخال بيانات المركز المالي'!C15</f>
        <v>2.3767601635834773E-2</v>
      </c>
      <c r="D6" s="4">
        <f>'إدخال بيانات قائمة الدخل'!D17/'إدخال بيانات المركز المالي'!D15</f>
        <v>2.8860759493670885E-2</v>
      </c>
      <c r="E6" s="4">
        <f>'إدخال بيانات قائمة الدخل'!E17/'إدخال بيانات المركز المالي'!E15</f>
        <v>3.1367589234586754E-2</v>
      </c>
    </row>
    <row r="7" spans="1:11" x14ac:dyDescent="0.3">
      <c r="A7" t="s">
        <v>53</v>
      </c>
      <c r="B7" s="4">
        <f>'إدخال بيانات قائمة الدخل'!B17/'إدخال بيانات قائمة الدخل'!B6</f>
        <v>0.31788461538461538</v>
      </c>
      <c r="C7" s="4">
        <f>'إدخال بيانات قائمة الدخل'!C17/'إدخال بيانات قائمة الدخل'!C6</f>
        <v>0.33861911764705882</v>
      </c>
      <c r="D7" s="4">
        <f>'إدخال بيانات قائمة الدخل'!D17/'إدخال بيانات قائمة الدخل'!D6</f>
        <v>0.35076923076923078</v>
      </c>
      <c r="E7" s="4">
        <f>'إدخال بيانات قائمة الدخل'!E17/'إدخال بيانات قائمة الدخل'!E6</f>
        <v>0.35416982758620691</v>
      </c>
    </row>
    <row r="8" spans="1:11" x14ac:dyDescent="0.3">
      <c r="A8" t="s">
        <v>54</v>
      </c>
      <c r="B8" s="4">
        <f>'إدخال بيانات قائمة الدخل'!B12/'إدخال بيانات قائمة الدخل'!B6</f>
        <v>0.33076923076923076</v>
      </c>
      <c r="C8" s="4">
        <f>'إدخال بيانات قائمة الدخل'!C12/'إدخال بيانات قائمة الدخل'!C6</f>
        <v>0.35291176470588237</v>
      </c>
      <c r="D8" s="4">
        <f>'إدخال بيانات قائمة الدخل'!D12/'إدخال بيانات قائمة الدخل'!D6</f>
        <v>0.36057692307692307</v>
      </c>
      <c r="E8" s="4">
        <f>'إدخال بيانات قائمة الدخل'!E12/'إدخال بيانات قائمة الدخل'!E6</f>
        <v>0.35772413793103447</v>
      </c>
    </row>
    <row r="9" spans="1:11" x14ac:dyDescent="0.3">
      <c r="A9" s="1" t="s">
        <v>55</v>
      </c>
      <c r="B9" s="4"/>
      <c r="C9" s="4"/>
      <c r="D9" s="4"/>
      <c r="E9" s="4"/>
      <c r="I9" s="8"/>
      <c r="J9" s="8"/>
      <c r="K9" s="8"/>
    </row>
    <row r="10" spans="1:11" x14ac:dyDescent="0.3">
      <c r="A10" t="s">
        <v>56</v>
      </c>
      <c r="B10" s="4">
        <f>'إدخال بيانات المركز المالي'!B11/'إدخال بيانات المركز المالي'!B21</f>
        <v>1.0798147643693816</v>
      </c>
      <c r="C10" s="4">
        <f>'إدخال بيانات المركز المالي'!C11/'إدخال بيانات المركز المالي'!C21</f>
        <v>1.0417099165216883</v>
      </c>
      <c r="D10" s="4">
        <f>'إدخال بيانات المركز المالي'!D11/'إدخال بيانات المركز المالي'!D21</f>
        <v>1.1494708994708995</v>
      </c>
      <c r="E10" s="4">
        <f>'إدخال بيانات المركز المالي'!E11/'إدخال بيانات المركز المالي'!E21</f>
        <v>1.2932061978545888</v>
      </c>
      <c r="I10" s="8"/>
      <c r="J10" s="8"/>
      <c r="K10" s="8"/>
    </row>
    <row r="11" spans="1:11" x14ac:dyDescent="0.3">
      <c r="A11" t="s">
        <v>57</v>
      </c>
      <c r="B11" s="4">
        <f>('إدخال بيانات المركز المالي'!B11-'إدخال بيانات المركز المالي'!B9)/'إدخال بيانات المركز المالي'!B21</f>
        <v>0.80059929174611821</v>
      </c>
      <c r="C11" s="4">
        <f>('إدخال بيانات المركز المالي'!C11-'إدخال بيانات المركز المالي'!C9)/'إدخال بيانات المركز المالي'!C21</f>
        <v>0.77563193520562568</v>
      </c>
      <c r="D11" s="4">
        <f>('إدخال بيانات المركز المالي'!D11-'إدخال بيانات المركز المالي'!D9)/'إدخال بيانات المركز المالي'!D21</f>
        <v>0.88492063492063489</v>
      </c>
      <c r="E11" s="4">
        <f>('إدخال بيانات المركز المالي'!E11-'إدخال بيانات المركز المالي'!E9)/'إدخال بيانات المركز المالي'!E21</f>
        <v>1.0238379022646007</v>
      </c>
      <c r="I11" s="8"/>
      <c r="J11" s="8"/>
      <c r="K11" s="8"/>
    </row>
    <row r="12" spans="1:11" x14ac:dyDescent="0.3">
      <c r="A12" t="s">
        <v>58</v>
      </c>
      <c r="B12" s="4">
        <f>('إدخال بيانات المركز المالي'!B5+'إدخال بيانات المركز المالي'!B6)/'إدخال بيانات المركز المالي'!B21</f>
        <v>0.51076001089621359</v>
      </c>
      <c r="C12" s="4">
        <f>('إدخال بيانات المركز المالي'!C5+'إدخال بيانات المركز المالي'!C6)/'إدخال بيانات المركز المالي'!C21</f>
        <v>0.52630809491089314</v>
      </c>
      <c r="D12" s="4">
        <f>('إدخال بيانات المركز المالي'!D5+'إدخال بيانات المركز المالي'!D6)/'إدخال بيانات المركز المالي'!D21</f>
        <v>0.63492063492063489</v>
      </c>
      <c r="E12" s="4">
        <f>('إدخال بيانات المركز المالي'!E5+'إدخال بيانات المركز المالي'!E6)/'إدخال بيانات المركز المالي'!E21</f>
        <v>0.73897497020262215</v>
      </c>
      <c r="I12" s="8"/>
      <c r="J12" s="8"/>
      <c r="K12" s="8"/>
    </row>
    <row r="13" spans="1:11" x14ac:dyDescent="0.3">
      <c r="A13" s="1" t="s">
        <v>59</v>
      </c>
      <c r="B13" s="4"/>
      <c r="C13" s="4"/>
      <c r="D13" s="4"/>
      <c r="E13" s="4"/>
      <c r="I13" s="8"/>
      <c r="J13" s="8"/>
      <c r="K13" s="8"/>
    </row>
    <row r="14" spans="1:11" x14ac:dyDescent="0.3">
      <c r="A14" t="s">
        <v>60</v>
      </c>
      <c r="B14" s="4"/>
      <c r="C14" s="4">
        <f>'إدخال بيانات قائمة الدخل'!C7/(('إدخال بيانات المركز المالي'!B9+'إدخال بيانات المركز المالي'!C9)/2)</f>
        <v>0.98265895953757221</v>
      </c>
      <c r="D14" s="4">
        <f>'إدخال بيانات قائمة الدخل'!D7/(('إدخال بيانات المركز المالي'!C9+'إدخال بيانات المركز المالي'!D9)/2)</f>
        <v>1.0890052356020943</v>
      </c>
      <c r="E14" s="4">
        <f>'إدخال بيانات قائمة الدخل'!E7/(('إدخال بيانات المركز المالي'!D9+'إدخال بيانات المركز المالي'!E9)/2)</f>
        <v>1.0892018779342723</v>
      </c>
      <c r="I14" s="8"/>
      <c r="J14" s="8"/>
      <c r="K14" s="8"/>
    </row>
    <row r="15" spans="1:11" x14ac:dyDescent="0.3">
      <c r="A15" t="s">
        <v>61</v>
      </c>
      <c r="B15" s="4"/>
      <c r="C15" s="4">
        <f>360/C14</f>
        <v>366.35294117647061</v>
      </c>
      <c r="D15" s="4">
        <f t="shared" ref="D15:E15" si="0">360/D14</f>
        <v>330.57692307692304</v>
      </c>
      <c r="E15" s="4">
        <f t="shared" si="0"/>
        <v>330.51724137931035</v>
      </c>
      <c r="I15" s="8"/>
      <c r="J15" s="8"/>
      <c r="K15" s="8"/>
    </row>
    <row r="16" spans="1:11" x14ac:dyDescent="0.3">
      <c r="A16" t="s">
        <v>62</v>
      </c>
      <c r="B16" s="4"/>
      <c r="C16" s="4">
        <f>'إدخال بيانات قائمة الدخل'!C5/(('إدخال بيانات المركز المالي'!B7+'إدخال بيانات المركز المالي'!C7)/2)</f>
        <v>2.5531914893617023</v>
      </c>
      <c r="D16" s="4">
        <f>'إدخال بيانات قائمة الدخل'!D5/(('إدخال بيانات المركز المالي'!C7+'إدخال بيانات المركز المالي'!D7)/2)</f>
        <v>3.0927835051546393</v>
      </c>
      <c r="E16" s="4">
        <f>'إدخال بيانات قائمة الدخل'!E5/(('إدخال بيانات المركز المالي'!D7+'إدخال بيانات المركز المالي'!E7)/2)</f>
        <v>2.8333333333333335</v>
      </c>
    </row>
    <row r="17" spans="1:5" x14ac:dyDescent="0.3">
      <c r="A17" t="s">
        <v>63</v>
      </c>
      <c r="B17" s="4"/>
      <c r="C17" s="4">
        <f>360/C16</f>
        <v>141</v>
      </c>
      <c r="D17" s="4">
        <f t="shared" ref="D17:E17" si="1">360/D16</f>
        <v>116.39999999999999</v>
      </c>
      <c r="E17" s="4">
        <f t="shared" si="1"/>
        <v>127.05882352941175</v>
      </c>
    </row>
    <row r="18" spans="1:5" x14ac:dyDescent="0.3">
      <c r="A18" t="s">
        <v>64</v>
      </c>
      <c r="B18" s="4"/>
      <c r="C18" s="4">
        <f>'إدخال بيانات قائمة الدخل'!C6/(('إدخال بيانات المركز المالي'!B11+'إدخال بيانات المركز المالي'!C11)/2)</f>
        <v>0.50490800279184422</v>
      </c>
      <c r="D18" s="4">
        <f>'إدخال بيانات قائمة الدخل'!D6/(('إدخال بيانات المركز المالي'!C11+'إدخال بيانات المركز المالي'!D11)/2)</f>
        <v>0.52606952716972066</v>
      </c>
      <c r="E18" s="4">
        <f>'إدخال بيانات قائمة الدخل'!E6/(('إدخال بيانات المركز المالي'!D11+'إدخال بيانات المركز المالي'!E11)/2)</f>
        <v>0.47492323439099282</v>
      </c>
    </row>
    <row r="19" spans="1:5" x14ac:dyDescent="0.3">
      <c r="A19" t="s">
        <v>65</v>
      </c>
      <c r="B19" s="4"/>
      <c r="C19" s="4">
        <f>'إدخال بيانات قائمة الدخل'!C6/(('إدخال بيانات المركز المالي'!B27+'إدخال بيانات المركز المالي'!C27)/2)</f>
        <v>0.17</v>
      </c>
      <c r="D19" s="4">
        <f>'إدخال بيانات قائمة الدخل'!D6/(('إدخال بيانات المركز المالي'!C27+'إدخال بيانات المركز المالي'!D27)/2)</f>
        <v>0.20799999999999999</v>
      </c>
      <c r="E19" s="4">
        <f>'إدخال بيانات قائمة الدخل'!E6/(('إدخال بيانات المركز المالي'!D27+'إدخال بيانات المركز المالي'!E27)/2)</f>
        <v>0.23200000000000001</v>
      </c>
    </row>
    <row r="20" spans="1:5" x14ac:dyDescent="0.3">
      <c r="A20" s="1" t="s">
        <v>66</v>
      </c>
      <c r="B20" s="4"/>
      <c r="C20" s="4"/>
      <c r="D20" s="4"/>
      <c r="E20" s="4"/>
    </row>
    <row r="21" spans="1:5" x14ac:dyDescent="0.3">
      <c r="A21" t="s">
        <v>67</v>
      </c>
      <c r="B21" s="4">
        <f>'إدخال بيانات المركز المالي'!B25/'إدخال بيانات المركز المالي'!B15</f>
        <v>0.39142713585252181</v>
      </c>
      <c r="C21" s="4">
        <f>'إدخال بيانات المركز المالي'!C25/'إدخال بيانات المركز المالي'!C15</f>
        <v>0.41783770058278163</v>
      </c>
      <c r="D21" s="4">
        <f>'إدخال بيانات المركز المالي'!D25/'إدخال بيانات المركز المالي'!D15</f>
        <v>0.41455696202531644</v>
      </c>
      <c r="E21" s="4">
        <f>'إدخال بيانات المركز المالي'!E25/'إدخال بيانات المركز المالي'!E15</f>
        <v>0.40828402366863903</v>
      </c>
    </row>
    <row r="22" spans="1:5" x14ac:dyDescent="0.3">
      <c r="A22" t="s">
        <v>68</v>
      </c>
      <c r="B22" s="4">
        <f>'إدخال بيانات المركز المالي'!B25/'إدخال بيانات المركز المالي'!B30</f>
        <v>0.64318861209964417</v>
      </c>
      <c r="C22" s="4">
        <f>'إدخال بيانات المركز المالي'!C25/'إدخال بيانات المركز المالي'!C30</f>
        <v>0.71773404255319151</v>
      </c>
      <c r="D22" s="4">
        <f>'إدخال بيانات المركز المالي'!D25/'إدخال بيانات المركز المالي'!D30</f>
        <v>0.70810810810810809</v>
      </c>
      <c r="E22" s="4">
        <f>'إدخال بيانات المركز المالي'!E25/'إدخال بيانات المركز المالي'!E30</f>
        <v>0.69</v>
      </c>
    </row>
    <row r="23" spans="1:5" x14ac:dyDescent="0.3">
      <c r="A23" t="s">
        <v>69</v>
      </c>
      <c r="B23" s="4">
        <f>'إدخال بيانات المركز المالي'!B24/'إدخال بيانات المركز المالي'!B30</f>
        <v>0.43416370106761565</v>
      </c>
      <c r="C23" s="4">
        <f>'إدخال بيانات المركز المالي'!C24/'إدخال بيانات المركز المالي'!C30</f>
        <v>0.47517730496453903</v>
      </c>
      <c r="D23" s="4">
        <f>'إدخال بيانات المركز المالي'!D24/'إدخال بيانات المركز المالي'!D30</f>
        <v>0.45270270270270269</v>
      </c>
      <c r="E23" s="4">
        <f>'إدخال بيانات المركز المالي'!E24/'إدخال بيانات المركز المالي'!E30</f>
        <v>0.41935483870967744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إدخال بيانات قائمة الدخل</vt:lpstr>
      <vt:lpstr>إدخال بيانات المركز المالي</vt:lpstr>
      <vt:lpstr>الهيكل النسبي لقائمة الدخل</vt:lpstr>
      <vt:lpstr>التغير النسبي لقائمة الدخل</vt:lpstr>
      <vt:lpstr>الهيكل النسبي للمركز المالي</vt:lpstr>
      <vt:lpstr>التغير النسبي للمركز المالي</vt:lpstr>
      <vt:lpstr>النسب المالية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Razan AlRawsaa</dc:creator>
  <cp:lastModifiedBy>Ali Ahmed</cp:lastModifiedBy>
  <dcterms:created xsi:type="dcterms:W3CDTF">2022-11-03T06:42:29Z</dcterms:created>
  <dcterms:modified xsi:type="dcterms:W3CDTF">2024-12-31T02:16:56Z</dcterms:modified>
</cp:coreProperties>
</file>